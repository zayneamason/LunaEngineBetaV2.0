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6-Month Model" sheetId="2" state="visible" r:id="rId4"/>
    <sheet name="Phase Timeline" sheetId="3" state="visible" r:id="rId5"/>
    <sheet name="CA Tribal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<sst xmlns="http://schemas.openxmlformats.org/spreadsheetml/2006/main" count="178" uniqueCount="155">
  <si>
    <t xml:space="preserve">California Tribal Deployment — Cost Model</t>
  </si>
  <si>
    <t xml:space="preserve">Team of 3 · 6 Months · Generic Template</t>
  </si>
  <si>
    <t xml:space="preserve">TEAM — Monthly Rates</t>
  </si>
  <si>
    <t xml:space="preserve">Ahab (Architecture / Tech Lead)</t>
  </si>
  <si>
    <t xml:space="preserve">Core team</t>
  </si>
  <si>
    <t xml:space="preserve">Tarcila (Ops / Community Bridge)</t>
  </si>
  <si>
    <t xml:space="preserve">Core team — contract</t>
  </si>
  <si>
    <t xml:space="preserve">Developer/Engineer (Contract)</t>
  </si>
  <si>
    <t xml:space="preserve">Adjust to market/skill level</t>
  </si>
  <si>
    <t xml:space="preserve">TEAM — ALLOCATION (months active out of 6)</t>
  </si>
  <si>
    <t xml:space="preserve">Ahab — months active</t>
  </si>
  <si>
    <t xml:space="preserve">Full duration</t>
  </si>
  <si>
    <t xml:space="preserve">Tarcila — months active</t>
  </si>
  <si>
    <t xml:space="preserve">Phases 1,3,5,6 + overlap</t>
  </si>
  <si>
    <t xml:space="preserve">Developer — months active</t>
  </si>
  <si>
    <t xml:space="preserve">Phases 2,4 + testing</t>
  </si>
  <si>
    <t xml:space="preserve">OVERHEAD — Monthly</t>
  </si>
  <si>
    <t xml:space="preserve">Legal / Entity</t>
  </si>
  <si>
    <t xml:space="preserve">LLC + registered agent amortized</t>
  </si>
  <si>
    <t xml:space="preserve">Health Insurance</t>
  </si>
  <si>
    <t xml:space="preserve">Sole proprietor marketplace</t>
  </si>
  <si>
    <t xml:space="preserve">Software / Tools</t>
  </si>
  <si>
    <t xml:space="preserve">Claude, domains, dev tools</t>
  </si>
  <si>
    <t xml:space="preserve">Self-Employment Tax Rate</t>
  </si>
  <si>
    <t xml:space="preserve">~15.3% SE + ~15% effective income</t>
  </si>
  <si>
    <t xml:space="preserve">Contingency Rate</t>
  </si>
  <si>
    <t xml:space="preserve">Buffer for unknowns</t>
  </si>
  <si>
    <t xml:space="preserve">TRAVEL — California (no international)</t>
  </si>
  <si>
    <t xml:space="preserve">Round-Trip Mileage/Gas per Visit</t>
  </si>
  <si>
    <t xml:space="preserve">LA to tribal land — adjust for distance</t>
  </si>
  <si>
    <t xml:space="preserve">Per Diem (lodging + food)</t>
  </si>
  <si>
    <t xml:space="preserve">Per person per day on-site</t>
  </si>
  <si>
    <t xml:space="preserve">Days per Visit</t>
  </si>
  <si>
    <t xml:space="preserve">Mon-Fri on-site</t>
  </si>
  <si>
    <t xml:space="preserve">Number of Visits</t>
  </si>
  <si>
    <t xml:space="preserve">Roughly monthly</t>
  </si>
  <si>
    <t xml:space="preserve">People Traveling</t>
  </si>
  <si>
    <t xml:space="preserve">Ahab + Tarcila usually</t>
  </si>
  <si>
    <t xml:space="preserve">HARDWARE — Passthrough</t>
  </si>
  <si>
    <t xml:space="preserve">Devices (tablets/laptops)</t>
  </si>
  <si>
    <t xml:space="preserve">They likely have some already</t>
  </si>
  <si>
    <t xml:space="preserve">Networking (router/mesh)</t>
  </si>
  <si>
    <t xml:space="preserve">Backup/Storage Hardware</t>
  </si>
  <si>
    <t xml:space="preserve">External drives, UPS</t>
  </si>
  <si>
    <t xml:space="preserve">Misc</t>
  </si>
  <si>
    <t xml:space="preserve">Cases, cables, adapters</t>
  </si>
  <si>
    <t xml:space="preserve">CONSULTING — Outside Specialists</t>
  </si>
  <si>
    <t xml:space="preserve">Tribal Data Sovereignty Legal Review</t>
  </si>
  <si>
    <t xml:space="preserve">One-time — NAGPRA/OCAP compliance</t>
  </si>
  <si>
    <t xml:space="preserve">Language/Cultural Consultant (per session)</t>
  </si>
  <si>
    <t xml:space="preserve">If localization needed</t>
  </si>
  <si>
    <t xml:space="preserve">Number of Cultural Consult Sessions</t>
  </si>
  <si>
    <t xml:space="preserve">Phases 1 and 3</t>
  </si>
  <si>
    <t xml:space="preserve">Factor 1: What It Costs You</t>
  </si>
  <si>
    <t xml:space="preserve">California Tribal · 6 Months · Team of 3</t>
  </si>
  <si>
    <t xml:space="preserve">TEAM COMPENSATION</t>
  </si>
  <si>
    <t xml:space="preserve">Ahab (6 months)</t>
  </si>
  <si>
    <t xml:space="preserve">Tarcila (5 months)</t>
  </si>
  <si>
    <t xml:space="preserve">Phases 1,3,5,6</t>
  </si>
  <si>
    <t xml:space="preserve">Developer/Engineer (4 months)</t>
  </si>
  <si>
    <t xml:space="preserve">Team Subtotal</t>
  </si>
  <si>
    <t xml:space="preserve">OVERHEAD (6 months)</t>
  </si>
  <si>
    <t xml:space="preserve">Legal + Health + Tools</t>
  </si>
  <si>
    <t xml:space="preserve">TRAVEL</t>
  </si>
  <si>
    <t xml:space="preserve">Mileage/Gas (all visits)</t>
  </si>
  <si>
    <t xml:space="preserve">Per Diem (all visits)</t>
  </si>
  <si>
    <t xml:space="preserve">rate × days × visits × people</t>
  </si>
  <si>
    <t xml:space="preserve">Travel Subtotal</t>
  </si>
  <si>
    <t xml:space="preserve">HARDWARE (passthrough)</t>
  </si>
  <si>
    <t xml:space="preserve">Hardware Total</t>
  </si>
  <si>
    <t xml:space="preserve">Billed at cost</t>
  </si>
  <si>
    <t xml:space="preserve">OUTSIDE CONSULTANTS</t>
  </si>
  <si>
    <t xml:space="preserve">Legal Review (tribal data sovereignty)</t>
  </si>
  <si>
    <t xml:space="preserve">Cultural/Language Consultant</t>
  </si>
  <si>
    <t xml:space="preserve">Consulting Subtotal</t>
  </si>
  <si>
    <t xml:space="preserve">TOTALS</t>
  </si>
  <si>
    <t xml:space="preserve">Project Subtotal (pre-tax/buffer)</t>
  </si>
  <si>
    <t xml:space="preserve">Self-Employment Tax (Ahab comp only)</t>
  </si>
  <si>
    <t xml:space="preserve">Tax on your earnings, not contractors</t>
  </si>
  <si>
    <t xml:space="preserve">Contingency Buffer</t>
  </si>
  <si>
    <t xml:space="preserve">TOTAL COST (What It Costs You)</t>
  </si>
  <si>
    <t xml:space="preserve">Factor 2: What You Charge</t>
  </si>
  <si>
    <t xml:space="preserve">Margin Target</t>
  </si>
  <si>
    <t xml:space="preserve">Adjust based on funder</t>
  </si>
  <si>
    <t xml:space="preserve">CHARGE TO CLIENT / GRANT</t>
  </si>
  <si>
    <t xml:space="preserve">Gross Margin $</t>
  </si>
  <si>
    <t xml:space="preserve">Grant Budget Breakdown</t>
  </si>
  <si>
    <t xml:space="preserve">Personnel — Core Team (Ahab + Tarcila)</t>
  </si>
  <si>
    <t xml:space="preserve">Personnel — Contracted Developer</t>
  </si>
  <si>
    <t xml:space="preserve">Overhead &amp; Administration</t>
  </si>
  <si>
    <t xml:space="preserve">Travel &amp; Per Diem</t>
  </si>
  <si>
    <t xml:space="preserve">Equipment &amp; Hardware</t>
  </si>
  <si>
    <t xml:space="preserve">Consultants &amp; Specialists</t>
  </si>
  <si>
    <t xml:space="preserve">Tax &amp; Contingency</t>
  </si>
  <si>
    <t xml:space="preserve">Total (pre-margin)</t>
  </si>
  <si>
    <t xml:space="preserve">Phase Timeline — 6 Month Deployment</t>
  </si>
  <si>
    <t xml:space="preserve">Phase</t>
  </si>
  <si>
    <t xml:space="preserve">Duration</t>
  </si>
  <si>
    <t xml:space="preserve">Ahab</t>
  </si>
  <si>
    <t xml:space="preserve">Tarcila</t>
  </si>
  <si>
    <t xml:space="preserve">Developer</t>
  </si>
  <si>
    <t xml:space="preserve">1. Assessment &amp; Governance Design</t>
  </si>
  <si>
    <t xml:space="preserve">3 weeks</t>
  </si>
  <si>
    <t xml:space="preserve">Part-time</t>
  </si>
  <si>
    <t xml:space="preserve">Full-time</t>
  </si>
  <si>
    <t xml:space="preserve">—</t>
  </si>
  <si>
    <t xml:space="preserve">2. Infrastructure &amp; Hardware Setup</t>
  </si>
  <si>
    <t xml:space="preserve">2 weeks</t>
  </si>
  <si>
    <t xml:space="preserve">3. Knowledge Seeding</t>
  </si>
  <si>
    <t xml:space="preserve">6 weeks</t>
  </si>
  <si>
    <t xml:space="preserve">4. Software Config &amp; Testing</t>
  </si>
  <si>
    <t xml:space="preserve">4 weeks</t>
  </si>
  <si>
    <t xml:space="preserve">5. Training &amp; Capacity Building</t>
  </si>
  <si>
    <t xml:space="preserve">6. Handoff &amp; Sustainability</t>
  </si>
  <si>
    <t xml:space="preserve">Buffer / Iteration</t>
  </si>
  <si>
    <t xml:space="preserve">As needed</t>
  </si>
  <si>
    <t xml:space="preserve">Total: ~24 weeks (6 months)</t>
  </si>
  <si>
    <t xml:space="preserve">California Tribal Deployment — Key Considerations</t>
  </si>
  <si>
    <t xml:space="preserve">WHAT CHANGES VS. INTERNATIONAL</t>
  </si>
  <si>
    <t xml:space="preserve">No solar needed — grid power available</t>
  </si>
  <si>
    <t xml:space="preserve">Saves $2,500+</t>
  </si>
  <si>
    <t xml:space="preserve">No international flights — driving distance</t>
  </si>
  <si>
    <t xml:space="preserve">Saves $8K+ per trip</t>
  </si>
  <si>
    <t xml:space="preserve">Better device availability</t>
  </si>
  <si>
    <t xml:space="preserve">May reduce hardware budget</t>
  </si>
  <si>
    <t xml:space="preserve">English as working language (usually)</t>
  </si>
  <si>
    <t xml:space="preserve">Less localization overhead</t>
  </si>
  <si>
    <t xml:space="preserve">LEGAL LANDSCAPE</t>
  </si>
  <si>
    <t xml:space="preserve">Tribal sovereignty has federal legal standing</t>
  </si>
  <si>
    <t xml:space="preserve">Different from international frameworks</t>
  </si>
  <si>
    <t xml:space="preserve">NAGPRA compliance if cultural objects/remains data</t>
  </si>
  <si>
    <t xml:space="preserve">Legal review covers this</t>
  </si>
  <si>
    <t xml:space="preserve">OCAP® principles align with Luna sovereignty model</t>
  </si>
  <si>
    <t xml:space="preserve">Natural fit for the pitch</t>
  </si>
  <si>
    <t xml:space="preserve">Tribal IRB may be required for knowledge seeding</t>
  </si>
  <si>
    <t xml:space="preserve">Build council relationship early</t>
  </si>
  <si>
    <t xml:space="preserve">CA AB 52 and tribal consultation requirements</t>
  </si>
  <si>
    <t xml:space="preserve">TRUST &amp; RELATIONSHIP</t>
  </si>
  <si>
    <t xml:space="preserve">History of extractive research programs</t>
  </si>
  <si>
    <t xml:space="preserve">Trust is earned, not assumed</t>
  </si>
  <si>
    <t xml:space="preserve">Tarcila leads community relationship</t>
  </si>
  <si>
    <t xml:space="preserve">Tech follows trust, not the other way around</t>
  </si>
  <si>
    <t xml:space="preserve">Start with Phase 1 as standalone engagement</t>
  </si>
  <si>
    <t xml:space="preserve">Let them evaluate before committing to full deployment</t>
  </si>
  <si>
    <t xml:space="preserve">GRANT LANDSCAPE</t>
  </si>
  <si>
    <t xml:space="preserve">Bureau of Indian Affairs (BIA)</t>
  </si>
  <si>
    <t xml:space="preserve">Tribal priority allocations</t>
  </si>
  <si>
    <t xml:space="preserve">IMLS (Institute of Museum &amp; Library Services)</t>
  </si>
  <si>
    <t xml:space="preserve">Native American/Hawaiian Library Services grants</t>
  </si>
  <si>
    <t xml:space="preserve">NEA / NEH</t>
  </si>
  <si>
    <t xml:space="preserve">Cultural preservation and documentation</t>
  </si>
  <si>
    <t xml:space="preserve">First Nations Development Institute</t>
  </si>
  <si>
    <t xml:space="preserve">Capacity building grants</t>
  </si>
  <si>
    <t xml:space="preserve">California tribal-specific state programs</t>
  </si>
  <si>
    <t xml:space="preserve">Research current offerings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</si>
</sst>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4841D"/>
      <name val="Arial"/>
      <family val="0"/>
      <charset val="1"/>
    </font>
    <font>
      <sz val="10"/>
      <color rgb="FF9A9488"/>
      <name val="Arial"/>
      <family val="0"/>
      <charset val="1"/>
    </font>
    <font>
      <b val="true"/>
      <sz val="10"/>
      <color rgb="FF1A1815"/>
      <name val="Arial"/>
      <family val="0"/>
      <charset val="1"/>
    </font>
    <font>
      <sz val="10"/>
      <color rgb="FF1A181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A9488"/>
      <name val="Arial"/>
      <family val="0"/>
      <charset val="1"/>
    </font>
    <font>
      <b val="true"/>
      <sz val="12"/>
      <color rgb="FF1A1815"/>
      <name val="Arial"/>
      <family val="0"/>
      <charset val="1"/>
    </font>
    <font>
      <b val="true"/>
      <sz val="11"/>
      <color rgb="FFC4841D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D719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0EBE3"/>
        <bgColor rgb="FFF0F0F0"/>
      </patternFill>
    </fill>
    <fill>
      <patternFill patternType="solid">
        <fgColor rgb="FFF0F0F0"/>
        <bgColor rgb="FFF0EBE3"/>
      </patternFill>
    </fill>
    <fill>
      <patternFill patternType="solid">
        <fgColor rgb="FFEBF5FB"/>
        <bgColor rgb="FFF0F0F0"/>
      </patternFill>
    </fill>
    <fill>
      <patternFill patternType="solid">
        <fgColor rgb="FFFFF8F0"/>
        <bgColor rgb="FFFEF9E7"/>
      </patternFill>
    </fill>
    <fill>
      <patternFill patternType="solid">
        <fgColor rgb="FF2C2A26"/>
        <bgColor rgb="FF1A1815"/>
      </patternFill>
    </fill>
    <fill>
      <patternFill patternType="solid">
        <fgColor rgb="FFFEF9E7"/>
        <bgColor rgb="FFFFF8F0"/>
      </patternFill>
    </fill>
    <fill>
      <patternFill patternType="solid">
        <fgColor rgb="FFD5F5E3"/>
        <bgColor rgb="FFEBF5FB"/>
      </patternFill>
    </fill>
    <fill>
      <patternFill patternType="solid">
        <fgColor rgb="FFFADBD8"/>
        <bgColor rgb="FFF0EB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19D"/>
      <rgbColor rgb="FFD5D0C8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F0E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8F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C4841D"/>
      <rgbColor rgb="FFFF6600"/>
      <rgbColor rgb="FF666699"/>
      <rgbColor rgb="FF9A9488"/>
      <rgbColor rgb="FF003366"/>
      <rgbColor rgb="FF2A7848"/>
      <rgbColor rgb="FF003300"/>
      <rgbColor rgb="FF1A1815"/>
      <rgbColor rgb="FF993300"/>
      <rgbColor rgb="FF993366"/>
      <rgbColor rgb="FF333399"/>
      <rgbColor rgb="FF2C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841D"/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8000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8000</v>
      </c>
      <c r="C6" s="7" t="s">
        <v>6</v>
      </c>
    </row>
    <row r="7" customFormat="false" ht="15" hidden="false" customHeight="false" outlineLevel="0" collapsed="false">
      <c r="A7" s="5" t="s">
        <v>7</v>
      </c>
      <c r="B7" s="6" t="n">
        <v>10000</v>
      </c>
      <c r="C7" s="7" t="s">
        <v>8</v>
      </c>
    </row>
    <row r="9" customFormat="false" ht="15" hidden="false" customHeight="false" outlineLevel="0" collapsed="false">
      <c r="A9" s="3" t="s">
        <v>9</v>
      </c>
      <c r="B9" s="4"/>
      <c r="C9" s="4"/>
    </row>
    <row r="10" customFormat="false" ht="15" hidden="false" customHeight="false" outlineLevel="0" collapsed="false">
      <c r="A10" s="5" t="s">
        <v>10</v>
      </c>
      <c r="B10" s="6" t="n">
        <v>6</v>
      </c>
      <c r="C10" s="7" t="s">
        <v>11</v>
      </c>
    </row>
    <row r="11" customFormat="false" ht="15" hidden="false" customHeight="false" outlineLevel="0" collapsed="false">
      <c r="A11" s="5" t="s">
        <v>12</v>
      </c>
      <c r="B11" s="6" t="n">
        <v>5</v>
      </c>
      <c r="C11" s="7" t="s">
        <v>13</v>
      </c>
    </row>
    <row r="12" customFormat="false" ht="15" hidden="false" customHeight="false" outlineLevel="0" collapsed="false">
      <c r="A12" s="5" t="s">
        <v>14</v>
      </c>
      <c r="B12" s="6" t="n">
        <v>4</v>
      </c>
      <c r="C12" s="7" t="s">
        <v>15</v>
      </c>
    </row>
    <row r="13" customFormat="false" ht="15" hidden="false" customHeight="false" outlineLevel="0" collapsed="false">
      <c r="A13" s="3" t="s">
        <v>16</v>
      </c>
      <c r="B13" s="4"/>
      <c r="C13" s="4"/>
    </row>
    <row r="14" customFormat="false" ht="15" hidden="false" customHeight="false" outlineLevel="0" collapsed="false">
      <c r="A14" s="5" t="s">
        <v>17</v>
      </c>
      <c r="B14" s="6" t="n">
        <v>200</v>
      </c>
      <c r="C14" s="7" t="s">
        <v>18</v>
      </c>
    </row>
    <row r="15" customFormat="false" ht="15" hidden="false" customHeight="false" outlineLevel="0" collapsed="false">
      <c r="A15" s="5" t="s">
        <v>19</v>
      </c>
      <c r="B15" s="6" t="n">
        <v>500</v>
      </c>
      <c r="C15" s="7" t="s">
        <v>20</v>
      </c>
    </row>
    <row r="16" customFormat="false" ht="15" hidden="false" customHeight="false" outlineLevel="0" collapsed="false">
      <c r="A16" s="5" t="s">
        <v>21</v>
      </c>
      <c r="B16" s="6" t="n">
        <v>300</v>
      </c>
      <c r="C16" s="7" t="s">
        <v>22</v>
      </c>
    </row>
    <row r="17" customFormat="false" ht="15" hidden="false" customHeight="false" outlineLevel="0" collapsed="false">
      <c r="A17" s="5" t="s">
        <v>23</v>
      </c>
      <c r="B17" s="8" t="n">
        <v>0.3</v>
      </c>
      <c r="C17" s="7" t="s">
        <v>24</v>
      </c>
    </row>
    <row r="18" customFormat="false" ht="15" hidden="false" customHeight="false" outlineLevel="0" collapsed="false">
      <c r="A18" s="5" t="s">
        <v>25</v>
      </c>
      <c r="B18" s="8" t="n">
        <v>0.1</v>
      </c>
      <c r="C18" s="7" t="s">
        <v>26</v>
      </c>
    </row>
    <row r="19" customFormat="false" ht="15" hidden="false" customHeight="false" outlineLevel="0" collapsed="false">
      <c r="A19" s="3" t="s">
        <v>27</v>
      </c>
      <c r="B19" s="4"/>
      <c r="C19" s="4"/>
    </row>
    <row r="20" customFormat="false" ht="15" hidden="false" customHeight="false" outlineLevel="0" collapsed="false">
      <c r="A20" s="5" t="s">
        <v>28</v>
      </c>
      <c r="B20" s="6" t="n">
        <v>200</v>
      </c>
      <c r="C20" s="7" t="s">
        <v>29</v>
      </c>
    </row>
    <row r="21" customFormat="false" ht="15" hidden="false" customHeight="false" outlineLevel="0" collapsed="false">
      <c r="A21" s="5" t="s">
        <v>30</v>
      </c>
      <c r="B21" s="6" t="n">
        <v>150</v>
      </c>
      <c r="C21" s="7" t="s">
        <v>31</v>
      </c>
    </row>
    <row r="22" customFormat="false" ht="15" hidden="false" customHeight="false" outlineLevel="0" collapsed="false">
      <c r="A22" s="5" t="s">
        <v>32</v>
      </c>
      <c r="B22" s="6" t="n">
        <v>5</v>
      </c>
      <c r="C22" s="7" t="s">
        <v>33</v>
      </c>
    </row>
    <row r="23" customFormat="false" ht="15" hidden="false" customHeight="false" outlineLevel="0" collapsed="false">
      <c r="A23" s="5" t="s">
        <v>34</v>
      </c>
      <c r="B23" s="6" t="n">
        <v>6</v>
      </c>
      <c r="C23" s="7" t="s">
        <v>35</v>
      </c>
    </row>
    <row r="24" customFormat="false" ht="15" hidden="false" customHeight="false" outlineLevel="0" collapsed="false">
      <c r="A24" s="5" t="s">
        <v>36</v>
      </c>
      <c r="B24" s="6" t="n">
        <v>2</v>
      </c>
      <c r="C24" s="7" t="s">
        <v>37</v>
      </c>
    </row>
    <row r="25" customFormat="false" ht="15" hidden="false" customHeight="false" outlineLevel="0" collapsed="false">
      <c r="A25" s="3" t="s">
        <v>38</v>
      </c>
      <c r="B25" s="4"/>
      <c r="C25" s="4"/>
    </row>
    <row r="26" customFormat="false" ht="15" hidden="false" customHeight="false" outlineLevel="0" collapsed="false">
      <c r="A26" s="5" t="s">
        <v>39</v>
      </c>
      <c r="B26" s="6" t="n">
        <v>2000</v>
      </c>
      <c r="C26" s="7" t="s">
        <v>40</v>
      </c>
    </row>
    <row r="27" customFormat="false" ht="15" hidden="false" customHeight="false" outlineLevel="0" collapsed="false">
      <c r="A27" s="5" t="s">
        <v>41</v>
      </c>
      <c r="B27" s="6" t="n">
        <v>500</v>
      </c>
      <c r="C27" s="9"/>
    </row>
    <row r="28" customFormat="false" ht="15" hidden="false" customHeight="false" outlineLevel="0" collapsed="false">
      <c r="A28" s="5" t="s">
        <v>42</v>
      </c>
      <c r="B28" s="6" t="n">
        <v>300</v>
      </c>
      <c r="C28" s="7" t="s">
        <v>43</v>
      </c>
    </row>
    <row r="29" customFormat="false" ht="15" hidden="false" customHeight="false" outlineLevel="0" collapsed="false">
      <c r="A29" s="5" t="s">
        <v>44</v>
      </c>
      <c r="B29" s="6" t="n">
        <v>500</v>
      </c>
      <c r="C29" s="7" t="s">
        <v>45</v>
      </c>
    </row>
    <row r="30" customFormat="false" ht="15" hidden="false" customHeight="false" outlineLevel="0" collapsed="false">
      <c r="A30" s="3" t="s">
        <v>46</v>
      </c>
      <c r="B30" s="4"/>
      <c r="C30" s="4"/>
    </row>
    <row r="31" customFormat="false" ht="15" hidden="false" customHeight="false" outlineLevel="0" collapsed="false">
      <c r="A31" s="5" t="s">
        <v>47</v>
      </c>
      <c r="B31" s="6" t="n">
        <v>3000</v>
      </c>
      <c r="C31" s="7" t="s">
        <v>48</v>
      </c>
    </row>
    <row r="32" customFormat="false" ht="15" hidden="false" customHeight="false" outlineLevel="0" collapsed="false">
      <c r="A32" s="5" t="s">
        <v>49</v>
      </c>
      <c r="B32" s="6" t="n">
        <v>2000</v>
      </c>
      <c r="C32" s="7" t="s">
        <v>50</v>
      </c>
    </row>
    <row r="33" customFormat="false" ht="15" hidden="false" customHeight="false" outlineLevel="0" collapsed="false">
      <c r="A33" s="5" t="s">
        <v>51</v>
      </c>
      <c r="B33" s="6" t="n">
        <v>3</v>
      </c>
      <c r="C33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719D"/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4"/>
      <c r="C4" s="4"/>
    </row>
    <row r="5" customFormat="false" ht="15" hidden="false" customHeight="false" outlineLevel="0" collapsed="false">
      <c r="A5" s="5" t="s">
        <v>56</v>
      </c>
      <c r="B5" s="10" t="n">
        <f aca="false">Assumptions!B5*Assumptions!B10</f>
        <v>48000</v>
      </c>
      <c r="C5" s="7" t="s">
        <v>11</v>
      </c>
    </row>
    <row r="6" customFormat="false" ht="15" hidden="false" customHeight="false" outlineLevel="0" collapsed="false">
      <c r="A6" s="5" t="s">
        <v>57</v>
      </c>
      <c r="B6" s="10" t="n">
        <f aca="false">Assumptions!B6*Assumptions!B11</f>
        <v>40000</v>
      </c>
      <c r="C6" s="7" t="s">
        <v>58</v>
      </c>
    </row>
    <row r="7" customFormat="false" ht="15" hidden="false" customHeight="false" outlineLevel="0" collapsed="false">
      <c r="A7" s="5" t="s">
        <v>59</v>
      </c>
      <c r="B7" s="10" t="n">
        <f aca="false">Assumptions!B7*Assumptions!B12</f>
        <v>40000</v>
      </c>
      <c r="C7" s="7" t="s">
        <v>15</v>
      </c>
    </row>
    <row r="8" customFormat="false" ht="15" hidden="false" customHeight="false" outlineLevel="0" collapsed="false">
      <c r="A8" s="11" t="s">
        <v>60</v>
      </c>
      <c r="B8" s="12" t="n">
        <f aca="false">SUM(B5:B7)</f>
        <v>128000</v>
      </c>
      <c r="C8" s="13"/>
    </row>
    <row r="10" customFormat="false" ht="15" hidden="false" customHeight="false" outlineLevel="0" collapsed="false">
      <c r="A10" s="3" t="s">
        <v>61</v>
      </c>
      <c r="B10" s="4"/>
      <c r="C10" s="4"/>
    </row>
    <row r="11" customFormat="false" ht="15" hidden="false" customHeight="false" outlineLevel="0" collapsed="false">
      <c r="A11" s="5" t="s">
        <v>62</v>
      </c>
      <c r="B11" s="10" t="n">
        <f aca="false">(Assumptions!B14+Assumptions!B15+Assumptions!B16)*6</f>
        <v>6000</v>
      </c>
      <c r="C11" s="9"/>
    </row>
    <row r="13" customFormat="false" ht="15" hidden="false" customHeight="false" outlineLevel="0" collapsed="false">
      <c r="A13" s="3" t="s">
        <v>63</v>
      </c>
      <c r="B13" s="4"/>
      <c r="C13" s="4"/>
    </row>
    <row r="14" customFormat="false" ht="15" hidden="false" customHeight="false" outlineLevel="0" collapsed="false">
      <c r="A14" s="5" t="s">
        <v>64</v>
      </c>
      <c r="B14" s="10" t="n">
        <f aca="false">Assumptions!B20*Assumptions!B23</f>
        <v>1200</v>
      </c>
      <c r="C14" s="9"/>
    </row>
    <row r="15" customFormat="false" ht="15" hidden="false" customHeight="false" outlineLevel="0" collapsed="false">
      <c r="A15" s="5" t="s">
        <v>65</v>
      </c>
      <c r="B15" s="10" t="n">
        <f aca="false">Assumptions!B21*Assumptions!B22*Assumptions!B23*Assumptions!B24</f>
        <v>9000</v>
      </c>
      <c r="C15" s="7" t="s">
        <v>66</v>
      </c>
    </row>
    <row r="16" customFormat="false" ht="15" hidden="false" customHeight="false" outlineLevel="0" collapsed="false">
      <c r="A16" s="11" t="s">
        <v>67</v>
      </c>
      <c r="B16" s="12" t="n">
        <f aca="false">SUM(B14:B15)</f>
        <v>10200</v>
      </c>
      <c r="C16" s="13"/>
    </row>
    <row r="18" customFormat="false" ht="15" hidden="false" customHeight="false" outlineLevel="0" collapsed="false">
      <c r="A18" s="3" t="s">
        <v>68</v>
      </c>
      <c r="B18" s="4"/>
      <c r="C18" s="4"/>
    </row>
    <row r="19" customFormat="false" ht="15" hidden="false" customHeight="false" outlineLevel="0" collapsed="false">
      <c r="A19" s="5" t="s">
        <v>69</v>
      </c>
      <c r="B19" s="10" t="n">
        <f aca="false">Assumptions!B26+Assumptions!B27+Assumptions!B28+Assumptions!B29</f>
        <v>3300</v>
      </c>
      <c r="C19" s="7" t="s">
        <v>70</v>
      </c>
    </row>
    <row r="21" customFormat="false" ht="15" hidden="false" customHeight="false" outlineLevel="0" collapsed="false">
      <c r="A21" s="3" t="s">
        <v>71</v>
      </c>
      <c r="B21" s="4"/>
      <c r="C21" s="4"/>
    </row>
    <row r="22" customFormat="false" ht="15" hidden="false" customHeight="false" outlineLevel="0" collapsed="false">
      <c r="A22" s="5" t="s">
        <v>72</v>
      </c>
      <c r="B22" s="10" t="n">
        <f aca="false">Assumptions!B31</f>
        <v>3000</v>
      </c>
      <c r="C22" s="9"/>
    </row>
    <row r="23" customFormat="false" ht="15" hidden="false" customHeight="false" outlineLevel="0" collapsed="false">
      <c r="A23" s="5" t="s">
        <v>73</v>
      </c>
      <c r="B23" s="10" t="n">
        <f aca="false">Assumptions!B32*Assumptions!B33</f>
        <v>6000</v>
      </c>
      <c r="C23" s="9"/>
    </row>
    <row r="24" customFormat="false" ht="15" hidden="false" customHeight="false" outlineLevel="0" collapsed="false">
      <c r="A24" s="11" t="s">
        <v>74</v>
      </c>
      <c r="B24" s="12" t="n">
        <f aca="false">B22+B23</f>
        <v>9000</v>
      </c>
      <c r="C24" s="13"/>
    </row>
    <row r="26" customFormat="false" ht="15" hidden="false" customHeight="false" outlineLevel="0" collapsed="false">
      <c r="A26" s="3" t="s">
        <v>75</v>
      </c>
      <c r="B26" s="4"/>
      <c r="C26" s="4"/>
    </row>
    <row r="27" customFormat="false" ht="15" hidden="false" customHeight="false" outlineLevel="0" collapsed="false">
      <c r="A27" s="11" t="s">
        <v>76</v>
      </c>
      <c r="B27" s="12" t="n">
        <f aca="false">B8+B11+B16+B19+B24</f>
        <v>156500</v>
      </c>
      <c r="C27" s="13"/>
    </row>
    <row r="28" customFormat="false" ht="15" hidden="false" customHeight="false" outlineLevel="0" collapsed="false">
      <c r="A28" s="5" t="s">
        <v>77</v>
      </c>
      <c r="B28" s="10" t="n">
        <f aca="false">B5*Assumptions!B17</f>
        <v>14400</v>
      </c>
      <c r="C28" s="7" t="s">
        <v>78</v>
      </c>
    </row>
    <row r="29" customFormat="false" ht="15" hidden="false" customHeight="false" outlineLevel="0" collapsed="false">
      <c r="A29" s="5" t="s">
        <v>79</v>
      </c>
      <c r="B29" s="10" t="n">
        <f aca="false">B27*Assumptions!B18</f>
        <v>15650</v>
      </c>
      <c r="C29" s="9"/>
    </row>
    <row r="31" customFormat="false" ht="15" hidden="false" customHeight="false" outlineLevel="0" collapsed="false">
      <c r="A31" s="14" t="s">
        <v>80</v>
      </c>
      <c r="B31" s="15" t="n">
        <f aca="false">B27+B28+B29</f>
        <v>186550</v>
      </c>
      <c r="C31" s="16"/>
    </row>
    <row r="33" customFormat="false" ht="17.35" hidden="false" customHeight="false" outlineLevel="0" collapsed="false">
      <c r="A33" s="1" t="s">
        <v>81</v>
      </c>
    </row>
    <row r="35" customFormat="false" ht="15" hidden="false" customHeight="false" outlineLevel="0" collapsed="false">
      <c r="A35" s="5" t="s">
        <v>82</v>
      </c>
      <c r="B35" s="8" t="n">
        <v>0.2</v>
      </c>
      <c r="C35" s="7" t="s">
        <v>83</v>
      </c>
    </row>
    <row r="37" customFormat="false" ht="15" hidden="false" customHeight="false" outlineLevel="0" collapsed="false">
      <c r="A37" s="17" t="s">
        <v>84</v>
      </c>
      <c r="B37" s="18" t="n">
        <f aca="false">B31*(1+B35)</f>
        <v>223860</v>
      </c>
      <c r="C37" s="19"/>
    </row>
    <row r="38" customFormat="false" ht="15" hidden="false" customHeight="false" outlineLevel="0" collapsed="false">
      <c r="A38" s="5" t="s">
        <v>85</v>
      </c>
      <c r="B38" s="20" t="n">
        <f aca="false">B37-B31</f>
        <v>37310</v>
      </c>
      <c r="C38" s="9"/>
    </row>
    <row r="40" customFormat="false" ht="15" hidden="false" customHeight="false" outlineLevel="0" collapsed="false">
      <c r="A40" s="21" t="s">
        <v>86</v>
      </c>
    </row>
    <row r="41" customFormat="false" ht="15" hidden="false" customHeight="false" outlineLevel="0" collapsed="false">
      <c r="A41" s="5" t="s">
        <v>87</v>
      </c>
      <c r="B41" s="10" t="n">
        <f aca="false">B5+B6</f>
        <v>88000</v>
      </c>
      <c r="C41" s="22" t="n">
        <f aca="false">B41/B31</f>
        <v>0.471723398552667</v>
      </c>
    </row>
    <row r="42" customFormat="false" ht="15" hidden="false" customHeight="false" outlineLevel="0" collapsed="false">
      <c r="A42" s="5" t="s">
        <v>88</v>
      </c>
      <c r="B42" s="10" t="n">
        <f aca="false">B7</f>
        <v>40000</v>
      </c>
      <c r="C42" s="22" t="n">
        <f aca="false">B42/B31</f>
        <v>0.214419726614849</v>
      </c>
    </row>
    <row r="43" customFormat="false" ht="15" hidden="false" customHeight="false" outlineLevel="0" collapsed="false">
      <c r="A43" s="5" t="s">
        <v>89</v>
      </c>
      <c r="B43" s="10" t="n">
        <f aca="false">B11</f>
        <v>6000</v>
      </c>
      <c r="C43" s="22" t="n">
        <f aca="false">B43/B31</f>
        <v>0.0321629589922273</v>
      </c>
    </row>
    <row r="44" customFormat="false" ht="15" hidden="false" customHeight="false" outlineLevel="0" collapsed="false">
      <c r="A44" s="5" t="s">
        <v>90</v>
      </c>
      <c r="B44" s="10" t="n">
        <f aca="false">B16</f>
        <v>10200</v>
      </c>
      <c r="C44" s="22" t="n">
        <f aca="false">B44/B31</f>
        <v>0.0546770302867864</v>
      </c>
    </row>
    <row r="45" customFormat="false" ht="15" hidden="false" customHeight="false" outlineLevel="0" collapsed="false">
      <c r="A45" s="5" t="s">
        <v>91</v>
      </c>
      <c r="B45" s="10" t="n">
        <f aca="false">B19</f>
        <v>3300</v>
      </c>
      <c r="C45" s="22" t="n">
        <f aca="false">B45/B31</f>
        <v>0.017689627445725</v>
      </c>
    </row>
    <row r="46" customFormat="false" ht="15" hidden="false" customHeight="false" outlineLevel="0" collapsed="false">
      <c r="A46" s="5" t="s">
        <v>92</v>
      </c>
      <c r="B46" s="10" t="n">
        <f aca="false">B24</f>
        <v>9000</v>
      </c>
      <c r="C46" s="22" t="n">
        <f aca="false">B46/B31</f>
        <v>0.0482444384883409</v>
      </c>
    </row>
    <row r="47" customFormat="false" ht="15" hidden="false" customHeight="false" outlineLevel="0" collapsed="false">
      <c r="A47" s="5" t="s">
        <v>93</v>
      </c>
      <c r="B47" s="10" t="n">
        <f aca="false">B28+B29</f>
        <v>30050</v>
      </c>
      <c r="C47" s="22" t="n">
        <f aca="false">B47/B31</f>
        <v>0.161082819619405</v>
      </c>
    </row>
    <row r="48" customFormat="false" ht="15" hidden="false" customHeight="false" outlineLevel="0" collapsed="false">
      <c r="A48" s="11" t="s">
        <v>94</v>
      </c>
      <c r="B48" s="12" t="n">
        <f aca="false">B31</f>
        <v>186550</v>
      </c>
      <c r="C48" s="2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48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24" t="s">
        <v>96</v>
      </c>
      <c r="B3" s="24" t="s">
        <v>97</v>
      </c>
      <c r="C3" s="24" t="s">
        <v>98</v>
      </c>
      <c r="D3" s="24" t="s">
        <v>99</v>
      </c>
      <c r="E3" s="24" t="s">
        <v>100</v>
      </c>
    </row>
    <row r="4" customFormat="false" ht="15" hidden="false" customHeight="false" outlineLevel="0" collapsed="false">
      <c r="A4" s="5" t="s">
        <v>101</v>
      </c>
      <c r="B4" s="5" t="s">
        <v>102</v>
      </c>
      <c r="C4" s="25" t="s">
        <v>103</v>
      </c>
      <c r="D4" s="26" t="s">
        <v>104</v>
      </c>
      <c r="E4" s="5" t="s">
        <v>105</v>
      </c>
    </row>
    <row r="5" customFormat="false" ht="15" hidden="false" customHeight="false" outlineLevel="0" collapsed="false">
      <c r="A5" s="5" t="s">
        <v>106</v>
      </c>
      <c r="B5" s="5" t="s">
        <v>107</v>
      </c>
      <c r="C5" s="26" t="s">
        <v>104</v>
      </c>
      <c r="D5" s="5" t="s">
        <v>105</v>
      </c>
      <c r="E5" s="26" t="s">
        <v>104</v>
      </c>
    </row>
    <row r="6" customFormat="false" ht="15" hidden="false" customHeight="false" outlineLevel="0" collapsed="false">
      <c r="A6" s="5" t="s">
        <v>108</v>
      </c>
      <c r="B6" s="5" t="s">
        <v>109</v>
      </c>
      <c r="C6" s="25" t="s">
        <v>103</v>
      </c>
      <c r="D6" s="26" t="s">
        <v>104</v>
      </c>
      <c r="E6" s="25" t="s">
        <v>103</v>
      </c>
    </row>
    <row r="7" customFormat="false" ht="15" hidden="false" customHeight="false" outlineLevel="0" collapsed="false">
      <c r="A7" s="5" t="s">
        <v>110</v>
      </c>
      <c r="B7" s="5" t="s">
        <v>111</v>
      </c>
      <c r="C7" s="26" t="s">
        <v>104</v>
      </c>
      <c r="D7" s="5" t="s">
        <v>105</v>
      </c>
      <c r="E7" s="26" t="s">
        <v>104</v>
      </c>
    </row>
    <row r="8" customFormat="false" ht="15" hidden="false" customHeight="false" outlineLevel="0" collapsed="false">
      <c r="A8" s="5" t="s">
        <v>112</v>
      </c>
      <c r="B8" s="5" t="s">
        <v>111</v>
      </c>
      <c r="C8" s="25" t="s">
        <v>103</v>
      </c>
      <c r="D8" s="26" t="s">
        <v>104</v>
      </c>
      <c r="E8" s="25" t="s">
        <v>103</v>
      </c>
    </row>
    <row r="9" customFormat="false" ht="15" hidden="false" customHeight="false" outlineLevel="0" collapsed="false">
      <c r="A9" s="5" t="s">
        <v>113</v>
      </c>
      <c r="B9" s="5" t="s">
        <v>107</v>
      </c>
      <c r="C9" s="26" t="s">
        <v>104</v>
      </c>
      <c r="D9" s="26" t="s">
        <v>104</v>
      </c>
      <c r="E9" s="5" t="s">
        <v>105</v>
      </c>
    </row>
    <row r="10" customFormat="false" ht="15" hidden="false" customHeight="false" outlineLevel="0" collapsed="false">
      <c r="A10" s="5" t="s">
        <v>114</v>
      </c>
      <c r="B10" s="5" t="s">
        <v>102</v>
      </c>
      <c r="C10" s="27" t="s">
        <v>115</v>
      </c>
      <c r="D10" s="27" t="s">
        <v>115</v>
      </c>
      <c r="E10" s="27" t="s">
        <v>115</v>
      </c>
    </row>
    <row r="12" customFormat="false" ht="15" hidden="false" customHeight="false" outlineLevel="0" collapsed="false">
      <c r="A12" s="2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841D"/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117</v>
      </c>
    </row>
    <row r="4" customFormat="false" ht="15" hidden="false" customHeight="false" outlineLevel="0" collapsed="false">
      <c r="A4" s="29" t="s">
        <v>118</v>
      </c>
      <c r="B4" s="30"/>
    </row>
    <row r="5" customFormat="false" ht="15" hidden="false" customHeight="false" outlineLevel="0" collapsed="false">
      <c r="A5" s="31" t="s">
        <v>119</v>
      </c>
      <c r="B5" s="32" t="s">
        <v>120</v>
      </c>
    </row>
    <row r="6" customFormat="false" ht="15" hidden="false" customHeight="false" outlineLevel="0" collapsed="false">
      <c r="A6" s="31" t="s">
        <v>121</v>
      </c>
      <c r="B6" s="32" t="s">
        <v>122</v>
      </c>
    </row>
    <row r="7" customFormat="false" ht="15" hidden="false" customHeight="false" outlineLevel="0" collapsed="false">
      <c r="A7" s="31" t="s">
        <v>123</v>
      </c>
      <c r="B7" s="32" t="s">
        <v>124</v>
      </c>
    </row>
    <row r="8" customFormat="false" ht="15" hidden="false" customHeight="false" outlineLevel="0" collapsed="false">
      <c r="A8" s="31" t="s">
        <v>125</v>
      </c>
      <c r="B8" s="32" t="s">
        <v>126</v>
      </c>
    </row>
    <row r="9" customFormat="false" ht="15" hidden="false" customHeight="false" outlineLevel="0" collapsed="false">
      <c r="A9" s="29" t="s">
        <v>127</v>
      </c>
      <c r="B9" s="30"/>
    </row>
    <row r="10" customFormat="false" ht="15" hidden="false" customHeight="false" outlineLevel="0" collapsed="false">
      <c r="A10" s="31" t="s">
        <v>128</v>
      </c>
      <c r="B10" s="32" t="s">
        <v>129</v>
      </c>
    </row>
    <row r="11" customFormat="false" ht="15" hidden="false" customHeight="false" outlineLevel="0" collapsed="false">
      <c r="A11" s="31" t="s">
        <v>130</v>
      </c>
      <c r="B11" s="32" t="s">
        <v>131</v>
      </c>
    </row>
    <row r="12" customFormat="false" ht="15" hidden="false" customHeight="false" outlineLevel="0" collapsed="false">
      <c r="A12" s="31" t="s">
        <v>132</v>
      </c>
      <c r="B12" s="32" t="s">
        <v>133</v>
      </c>
    </row>
    <row r="13" customFormat="false" ht="15" hidden="false" customHeight="false" outlineLevel="0" collapsed="false">
      <c r="A13" s="31" t="s">
        <v>134</v>
      </c>
      <c r="B13" s="32" t="s">
        <v>135</v>
      </c>
    </row>
    <row r="14" customFormat="false" ht="15" hidden="false" customHeight="false" outlineLevel="0" collapsed="false">
      <c r="A14" s="31" t="s">
        <v>136</v>
      </c>
      <c r="B14" s="32" t="s">
        <v>131</v>
      </c>
    </row>
    <row r="15" customFormat="false" ht="15" hidden="false" customHeight="false" outlineLevel="0" collapsed="false">
      <c r="A15" s="29" t="s">
        <v>137</v>
      </c>
      <c r="B15" s="30"/>
    </row>
    <row r="16" customFormat="false" ht="15" hidden="false" customHeight="false" outlineLevel="0" collapsed="false">
      <c r="A16" s="31" t="s">
        <v>138</v>
      </c>
      <c r="B16" s="32" t="s">
        <v>139</v>
      </c>
    </row>
    <row r="17" customFormat="false" ht="15" hidden="false" customHeight="false" outlineLevel="0" collapsed="false">
      <c r="A17" s="31" t="s">
        <v>140</v>
      </c>
      <c r="B17" s="32" t="s">
        <v>141</v>
      </c>
    </row>
    <row r="18" customFormat="false" ht="15" hidden="false" customHeight="false" outlineLevel="0" collapsed="false">
      <c r="A18" s="31" t="s">
        <v>142</v>
      </c>
      <c r="B18" s="32" t="s">
        <v>143</v>
      </c>
    </row>
    <row r="19" customFormat="false" ht="15" hidden="false" customHeight="false" outlineLevel="0" collapsed="false">
      <c r="A19" s="29" t="s">
        <v>144</v>
      </c>
      <c r="B19" s="30"/>
    </row>
    <row r="20" customFormat="false" ht="15" hidden="false" customHeight="false" outlineLevel="0" collapsed="false">
      <c r="A20" s="31" t="s">
        <v>145</v>
      </c>
      <c r="B20" s="32" t="s">
        <v>146</v>
      </c>
    </row>
    <row r="21" customFormat="false" ht="15" hidden="false" customHeight="false" outlineLevel="0" collapsed="false">
      <c r="A21" s="31" t="s">
        <v>147</v>
      </c>
      <c r="B21" s="32" t="s">
        <v>148</v>
      </c>
    </row>
    <row r="22" customFormat="false" ht="15" hidden="false" customHeight="false" outlineLevel="0" collapsed="false">
      <c r="A22" s="31" t="s">
        <v>149</v>
      </c>
      <c r="B22" s="32" t="s">
        <v>150</v>
      </c>
    </row>
    <row r="23" customFormat="false" ht="15" hidden="false" customHeight="false" outlineLevel="0" collapsed="false">
      <c r="A23" s="31" t="s">
        <v>151</v>
      </c>
      <c r="B23" s="32" t="s">
        <v>152</v>
      </c>
    </row>
    <row r="24" customFormat="false" ht="15" hidden="false" customHeight="false" outlineLevel="0" collapsed="false">
      <c r="A24" s="31" t="s">
        <v>153</v>
      </c>
      <c r="B24" s="3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2026-02-25T18:54:15Z</dcterms:created>
  <dc:creator>openpyxl</dc:creator>
  <dc:description/>
  <dc:language>en-US</dc:language>
  <cp:lastModifiedBy/>
  <dcterms:modified xsi:type="dcterms:W3CDTF">2026-02-25T18:54:15Z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