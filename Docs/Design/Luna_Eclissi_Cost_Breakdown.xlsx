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mmary" sheetId="1" r:id="rId4"/>
    <sheet name="Phase 1 - ROSA Demo" sheetId="2" r:id="rId5"/>
    <sheet name="Phase 2 - MVP Year 1" sheetId="3" r:id="rId6"/>
    <sheet name="Infrastructure Tiers" sheetId="4" r:id="rId7"/>
    <sheet name="Robotics (Separate)" sheetId="5" r:id="rId8"/>
    <sheet name="Total Project Cost" sheetId="6" r:id="rId9"/>
  </sheets>
</workbook>
</file>

<file path=xl/sharedStrings.xml><?xml version="1.0" encoding="utf-8"?>
<sst xmlns="http://schemas.openxmlformats.org/spreadsheetml/2006/main" uniqueCount="176">
  <si>
    <t>LUNA / ECLISSI DEVELOPMENT COST BREAKDOWN</t>
  </si>
  <si>
    <t>Project Tapestry — Sovereign AI Infrastructure</t>
  </si>
  <si>
    <t>LABOR RATE TIERS</t>
  </si>
  <si>
    <t>Tier</t>
  </si>
  <si>
    <t>Hourly Rate</t>
  </si>
  <si>
    <t>Description</t>
  </si>
  <si>
    <t>Use Case</t>
  </si>
  <si>
    <t>Nonprofit/Grant</t>
  </si>
  <si>
    <t>Discounted rate for mission-aligned work</t>
  </si>
  <si>
    <t>Grant budgets, nonprofit partnerships</t>
  </si>
  <si>
    <t>Market Rate</t>
  </si>
  <si>
    <t>Standard senior architect/full-stack rate</t>
  </si>
  <si>
    <t>Commercial contracts, "true cost" valuation</t>
  </si>
  <si>
    <t>Premium/Consulting</t>
  </si>
  <si>
    <t>Specialist rate for AI/sovereignty expertise</t>
  </si>
  <si>
    <t>High-stakes consulting, expert testimony</t>
  </si>
  <si>
    <t>DEVELOPMENT PHASES — TOTAL COST BY TIER</t>
  </si>
  <si>
    <t>Phase</t>
  </si>
  <si>
    <t>Timeline</t>
  </si>
  <si>
    <t>Hours</t>
  </si>
  <si>
    <t>Nonprofit ($75/hr)</t>
  </si>
  <si>
    <t>Market ($150/hr)</t>
  </si>
  <si>
    <t>Premium ($200/hr)</t>
  </si>
  <si>
    <t>Phase 1: ROSA Demo Prototype</t>
  </si>
  <si>
    <t>2 months (Jan-Mar 2026)</t>
  </si>
  <si>
    <t>Phase 2: MVP / Year 1</t>
  </si>
  <si>
    <t>10 months (Mar 2026 - Jan 2027)</t>
  </si>
  <si>
    <t>Phase 3: Year 2 Scaling</t>
  </si>
  <si>
    <t>12 months (2027)</t>
  </si>
  <si>
    <t>TOTAL (All Phases)</t>
  </si>
  <si>
    <t>PHASE 1: ROSA CONFERENCE DEMO PROTOTYPE</t>
  </si>
  <si>
    <t>Timeline: January - March 2026 (8 weeks)</t>
  </si>
  <si>
    <t>Task Category</t>
  </si>
  <si>
    <t>Nonprofit</t>
  </si>
  <si>
    <t>Market</t>
  </si>
  <si>
    <t>Premium</t>
  </si>
  <si>
    <t>Luna Core Engine</t>
  </si>
  <si>
    <t>SQLite memory system, context management, basic inference pipeline</t>
  </si>
  <si>
    <t>Eclissi Database Schema</t>
  </si>
  <si>
    <t>Knowledge graph structure, clan-based access control design</t>
  </si>
  <si>
    <t>Luna ↔ Eclissi Bridge</t>
  </si>
  <si>
    <t>API layer connecting companion to cultural database</t>
  </si>
  <si>
    <t>Luganda LLM Integration</t>
  </si>
  <si>
    <t>Ganda Gemma 1B integration, Ollama setup, quantization testing</t>
  </si>
  <si>
    <t>Demo UI/UX</t>
  </si>
  <si>
    <t>Minimal viable interface for conference presentation</t>
  </si>
  <si>
    <t>Hardware Integration</t>
  </si>
  <si>
    <t>Raspberry Pi / edge device setup, offline deployment packaging</t>
  </si>
  <si>
    <t>Testing &amp; QA</t>
  </si>
  <si>
    <t>Integration testing, edge case handling, demo rehearsal</t>
  </si>
  <si>
    <t>Documentation</t>
  </si>
  <si>
    <t>Technical docs, demo script, presentation materials</t>
  </si>
  <si>
    <t>PHASE 1 TOTAL</t>
  </si>
  <si>
    <t>NON-LABOR COSTS (Phase 1)</t>
  </si>
  <si>
    <t>Item</t>
  </si>
  <si>
    <t>Cost</t>
  </si>
  <si>
    <t>Edge Compute Device</t>
  </si>
  <si>
    <t>Raspberry Pi 5 (8GB) + case + power supply</t>
  </si>
  <si>
    <t>Development Hardware</t>
  </si>
  <si>
    <t>SSD, cables, peripherals for testing</t>
  </si>
  <si>
    <t>Cloud Compute (Dev)</t>
  </si>
  <si>
    <t>GPU instances for model testing (2 months)</t>
  </si>
  <si>
    <t>Software/Services</t>
  </si>
  <si>
    <t>API costs, development tools, licenses</t>
  </si>
  <si>
    <t>Conference Costs</t>
  </si>
  <si>
    <t>Demo equipment, travel support if in-person component</t>
  </si>
  <si>
    <t>Non-Labor Subtotal</t>
  </si>
  <si>
    <t>PHASE 2: MVP / YEAR 1 DEVELOPMENT</t>
  </si>
  <si>
    <t>Timeline: March 2026 - January 2027 (10 months)</t>
  </si>
  <si>
    <t>Luna Memory System V2</t>
  </si>
  <si>
    <t>Advanced memory architecture, relationship modeling, context windows</t>
  </si>
  <si>
    <t>Eclissi Full Implementation</t>
  </si>
  <si>
    <t>Complete knowledge graph, multi-tribe support, version control</t>
  </si>
  <si>
    <t>Access Control System</t>
  </si>
  <si>
    <t>Clan-based permissions, elder override, TK Labels integration</t>
  </si>
  <si>
    <t>Multi-language Support</t>
  </si>
  <si>
    <t>Beyond Luganda: framework for additional languages</t>
  </si>
  <si>
    <t>Offline Sync Engine</t>
  </si>
  <si>
    <t>Peer-to-peer sync, conflict resolution, data sovereignty</t>
  </si>
  <si>
    <t>Mobile Application</t>
  </si>
  <si>
    <t>Cross-platform (React Native or Flutter), tablet-optimized</t>
  </si>
  <si>
    <t>Voice Interface</t>
  </si>
  <si>
    <t>Speech-to-text, text-to-speech for oral tradition support</t>
  </si>
  <si>
    <t>Cultural Content Tools</t>
  </si>
  <si>
    <t>Elder recording interface, story capture, media handling</t>
  </si>
  <si>
    <t>Admin Dashboard</t>
  </si>
  <si>
    <t>Hub management, usage analytics, content moderation</t>
  </si>
  <si>
    <t>Security Hardening</t>
  </si>
  <si>
    <t>Encryption, secure enclaves, penetration testing</t>
  </si>
  <si>
    <t>Integration Testing</t>
  </si>
  <si>
    <t>Full system testing, Kinoni pilot preparation</t>
  </si>
  <si>
    <t>Documentation &amp; Training</t>
  </si>
  <si>
    <t>User guides, facilitator training materials</t>
  </si>
  <si>
    <t>PHASE 2 TOTAL</t>
  </si>
  <si>
    <t>KINONI ICT HUB — INFRASTRUCTURE COST PROJECTIONS</t>
  </si>
  <si>
    <t>Tiered deployment options for different funding scenarios</t>
  </si>
  <si>
    <t>TIER DEFINITIONS</t>
  </si>
  <si>
    <t>Capacity</t>
  </si>
  <si>
    <t>Minimal</t>
  </si>
  <si>
    <t>Proof of concept, single location</t>
  </si>
  <si>
    <t>5-10 concurrent users</t>
  </si>
  <si>
    <t>ROSA demo, pilot testing</t>
  </si>
  <si>
    <t>Standard</t>
  </si>
  <si>
    <t>Functional community hub</t>
  </si>
  <si>
    <t>20-30 concurrent users</t>
  </si>
  <si>
    <t>Year 1 Kinoni deployment</t>
  </si>
  <si>
    <t>Full</t>
  </si>
  <si>
    <t>Complete implementation</t>
  </si>
  <si>
    <t>50+ concurrent users</t>
  </si>
  <si>
    <t>Scaled regional hub</t>
  </si>
  <si>
    <t>YEAR 1 INFRASTRUCTURE COSTS</t>
  </si>
  <si>
    <t>Category</t>
  </si>
  <si>
    <t>Power</t>
  </si>
  <si>
    <t>Solar panels + batteries</t>
  </si>
  <si>
    <t>Installation &amp; wiring</t>
  </si>
  <si>
    <t>Backup generator</t>
  </si>
  <si>
    <t>Connectivity</t>
  </si>
  <si>
    <t>Starlink kit</t>
  </si>
  <si>
    <t>Starlink service (12 mo)</t>
  </si>
  <si>
    <t>Local mesh network</t>
  </si>
  <si>
    <t>Devices</t>
  </si>
  <si>
    <t>Tablets (Android)</t>
  </si>
  <si>
    <t>Raspberry Pi units</t>
  </si>
  <si>
    <t>Charging station</t>
  </si>
  <si>
    <t>Protective cases/accessories</t>
  </si>
  <si>
    <t>Facility</t>
  </si>
  <si>
    <t>Furniture (tables, chairs)</t>
  </si>
  <si>
    <t>Security (locks, safe)</t>
  </si>
  <si>
    <t>Signage &amp; branding</t>
  </si>
  <si>
    <t>Operations</t>
  </si>
  <si>
    <t>Maintenance reserve (10%)</t>
  </si>
  <si>
    <t>YEAR 1 TOTAL</t>
  </si>
  <si>
    <t>ANNUAL RECURRING COSTS (Year 2+)</t>
  </si>
  <si>
    <t>Device replacement (15%)</t>
  </si>
  <si>
    <t>Maintenance &amp; repairs</t>
  </si>
  <si>
    <t>Consumables (power, etc.)</t>
  </si>
  <si>
    <t>ANNUAL RECURRING</t>
  </si>
  <si>
    <t>LUNA ROBOTICS — PHYSICAL CHASSIS (SEPARATE BUDGET)</t>
  </si>
  <si>
    <t>Note: This is tracked separately from software development</t>
  </si>
  <si>
    <t>Component</t>
  </si>
  <si>
    <t>Est. Cost</t>
  </si>
  <si>
    <t>Status</t>
  </si>
  <si>
    <t>Chassis/Shell</t>
  </si>
  <si>
    <t>3D printed or fabricated enclosure</t>
  </si>
  <si>
    <t>Design phase</t>
  </si>
  <si>
    <t>Display Module</t>
  </si>
  <si>
    <t>Galaxy face display (OLED/LCD)</t>
  </si>
  <si>
    <t>Sourcing</t>
  </si>
  <si>
    <t>Ball-joint Base</t>
  </si>
  <si>
    <t>360° rotation mechanism</t>
  </si>
  <si>
    <t>Retractable Neck</t>
  </si>
  <si>
    <t>Expressive movement system</t>
  </si>
  <si>
    <t>Concept</t>
  </si>
  <si>
    <t>Compute Module</t>
  </si>
  <si>
    <t>Raspberry Pi 5 or Jetson Nano</t>
  </si>
  <si>
    <t>Specified</t>
  </si>
  <si>
    <t>Audio System</t>
  </si>
  <si>
    <t>Speakers + microphone array</t>
  </si>
  <si>
    <t>Power System</t>
  </si>
  <si>
    <t>Battery + charging circuit</t>
  </si>
  <si>
    <t>Sensors</t>
  </si>
  <si>
    <t>Proximity, touch, ambient light</t>
  </si>
  <si>
    <t>TBD</t>
  </si>
  <si>
    <t>Assembly/Fabrication</t>
  </si>
  <si>
    <t>Labor for physical build</t>
  </si>
  <si>
    <t>Dust Protection</t>
  </si>
  <si>
    <t>Desert-rated sealing</t>
  </si>
  <si>
    <t>ROBOTICS TOTAL</t>
  </si>
  <si>
    <t>TOTAL PROJECT COST — ALL COMPONENTS</t>
  </si>
  <si>
    <t>YEAR 1 TOTAL BY LABOR TIER (Software + Infrastructure)</t>
  </si>
  <si>
    <t>Phase 1 Labor (ROSA Demo)</t>
  </si>
  <si>
    <t>Phase 1 Non-Labor</t>
  </si>
  <si>
    <t>Phase 2 Labor (MVP)</t>
  </si>
  <si>
    <t>Infrastructure (Standard Tier)</t>
  </si>
  <si>
    <t>QUICK REFERENCE — ROSA DEMO ONLY</t>
  </si>
  <si>
    <t>Phase 1 Labor + Non-Labor: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</si>
</sst>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&quot;/hr&quot;"/>
    <numFmt numFmtId="60" formatCode="&quot;$&quot;#,##0"/>
  </numFmts>
  <fonts count="1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6"/>
      <color indexed="9"/>
      <name val="Arial"/>
    </font>
    <font>
      <sz val="11"/>
      <color indexed="12"/>
      <name val="Arial"/>
    </font>
    <font>
      <sz val="12"/>
      <color indexed="8"/>
      <name val="Arial"/>
    </font>
    <font>
      <sz val="10"/>
      <color indexed="10"/>
      <name val="Arial"/>
    </font>
    <font>
      <sz val="10"/>
      <color indexed="8"/>
      <name val="Arial"/>
    </font>
    <font>
      <sz val="10"/>
      <color indexed="9"/>
      <name val="Arial"/>
    </font>
    <font>
      <sz val="14"/>
      <color indexed="9"/>
      <name val="Arial"/>
    </font>
    <font>
      <sz val="11"/>
      <color indexed="8"/>
      <name val="Arial"/>
    </font>
    <font>
      <sz val="10"/>
      <color indexed="15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 style="thin">
        <color indexed="13"/>
      </top>
      <bottom style="thin">
        <color indexed="11"/>
      </bottom>
      <diagonal/>
    </border>
    <border>
      <left/>
      <right/>
      <top style="thin">
        <color indexed="13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1" fontId="3" fillId="2" borderId="1" applyNumberFormat="1" applyFont="1" applyFill="1" applyBorder="1" applyAlignment="1" applyProtection="0">
      <alignment horizontal="center" vertical="bottom"/>
    </xf>
    <xf numFmtId="1" fontId="3" borderId="1" applyNumberFormat="1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1" fontId="4" fillId="2" borderId="1" applyNumberFormat="1" applyFont="1" applyFill="1" applyBorder="1" applyAlignment="1" applyProtection="0">
      <alignment horizontal="center" vertical="bottom"/>
    </xf>
    <xf numFmtId="1" fontId="4" borderId="1" applyNumberFormat="1" applyFont="1" applyFill="0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6" fillId="3" borderId="3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bottom"/>
    </xf>
    <xf numFmtId="49" fontId="7" fillId="2" borderId="3" applyNumberFormat="1" applyFont="1" applyFill="1" applyBorder="1" applyAlignment="1" applyProtection="0">
      <alignment horizontal="center" vertical="center"/>
    </xf>
    <xf numFmtId="59" fontId="7" fillId="2" borderId="3" applyNumberFormat="1" applyFont="1" applyFill="1" applyBorder="1" applyAlignment="1" applyProtection="0">
      <alignment horizontal="center" vertical="center"/>
    </xf>
    <xf numFmtId="49" fontId="7" fillId="2" borderId="3" applyNumberFormat="1" applyFont="1" applyFill="1" applyBorder="1" applyAlignment="1" applyProtection="0">
      <alignment horizontal="left" vertical="center"/>
    </xf>
    <xf numFmtId="0" fontId="0" fillId="2" borderId="5" applyNumberFormat="0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" fontId="7" fillId="2" borderId="3" applyNumberFormat="1" applyFont="1" applyFill="1" applyBorder="1" applyAlignment="1" applyProtection="0">
      <alignment horizontal="right" vertical="center"/>
    </xf>
    <xf numFmtId="60" fontId="7" fillId="2" borderId="3" applyNumberFormat="1" applyFont="1" applyFill="1" applyBorder="1" applyAlignment="1" applyProtection="0">
      <alignment horizontal="right" vertical="center"/>
    </xf>
    <xf numFmtId="49" fontId="8" fillId="4" borderId="3" applyNumberFormat="1" applyFont="1" applyFill="1" applyBorder="1" applyAlignment="1" applyProtection="0">
      <alignment vertical="bottom"/>
    </xf>
    <xf numFmtId="1" fontId="8" fillId="4" borderId="3" applyNumberFormat="1" applyFont="1" applyFill="1" applyBorder="1" applyAlignment="1" applyProtection="0">
      <alignment vertical="bottom"/>
    </xf>
    <xf numFmtId="3" fontId="8" fillId="4" borderId="3" applyNumberFormat="1" applyFont="1" applyFill="1" applyBorder="1" applyAlignment="1" applyProtection="0">
      <alignment vertical="bottom"/>
    </xf>
    <xf numFmtId="60" fontId="8" fillId="4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2" borderId="1" applyNumberFormat="1" applyFont="1" applyFill="1" applyBorder="1" applyAlignment="1" applyProtection="0">
      <alignment vertical="bottom"/>
    </xf>
    <xf numFmtId="1" fontId="9" fillId="2" borderId="1" applyNumberFormat="1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10" fillId="2" borderId="2" applyNumberFormat="1" applyFont="1" applyFill="1" applyBorder="1" applyAlignment="1" applyProtection="0">
      <alignment vertical="bottom"/>
    </xf>
    <xf numFmtId="49" fontId="8" fillId="4" borderId="6" applyNumberFormat="1" applyFont="1" applyFill="1" applyBorder="1" applyAlignment="1" applyProtection="0">
      <alignment vertical="bottom"/>
    </xf>
    <xf numFmtId="1" fontId="8" fillId="4" borderId="7" applyNumberFormat="1" applyFont="1" applyFill="1" applyBorder="1" applyAlignment="1" applyProtection="0">
      <alignment vertical="bottom"/>
    </xf>
    <xf numFmtId="60" fontId="8" fillId="4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9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60" fontId="8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2c2416"/>
      <rgbColor rgb="ffffffff"/>
      <rgbColor rgb="ffaaaaaa"/>
      <rgbColor rgb="ff7a8b6e"/>
      <rgbColor rgb="ffcccccc"/>
      <rgbColor rgb="ffe8dfd0"/>
      <rgbColor rgb="ffc470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 showGridLines="0" defaultGridColor="1"/>
  </sheetViews>
  <sheetFormatPr defaultColWidth="8.66667" defaultRowHeight="15" customHeight="1" outlineLevelRow="0" outlineLevelCol="0"/>
  <cols>
    <col min="1" max="1" width="30" style="1" customWidth="1"/>
    <col min="2" max="2" width="28" style="1" customWidth="1"/>
    <col min="3" max="3" width="12" style="1" customWidth="1"/>
    <col min="4" max="6" width="18" style="1" customWidth="1"/>
    <col min="7" max="7" width="8.67188" style="1" customWidth="1"/>
    <col min="8" max="16384" width="8.67188" style="1" customWidth="1"/>
  </cols>
  <sheetData>
    <row r="1" ht="20.45" customHeight="1">
      <c r="A1" t="s" s="2">
        <v>0</v>
      </c>
      <c r="B1" s="3"/>
      <c r="C1" s="3"/>
      <c r="D1" s="3"/>
      <c r="E1" s="3"/>
      <c r="F1" s="3"/>
      <c r="G1" s="4"/>
    </row>
    <row r="2" ht="14.6" customHeight="1">
      <c r="A2" t="s" s="5">
        <v>1</v>
      </c>
      <c r="B2" s="6"/>
      <c r="C2" s="6"/>
      <c r="D2" s="6"/>
      <c r="E2" s="6"/>
      <c r="F2" s="6"/>
      <c r="G2" s="7"/>
    </row>
    <row r="3" ht="13.55" customHeight="1">
      <c r="A3" s="8"/>
      <c r="B3" s="8"/>
      <c r="C3" s="8"/>
      <c r="D3" s="8"/>
      <c r="E3" s="8"/>
      <c r="F3" s="8"/>
      <c r="G3" s="9"/>
    </row>
    <row r="4" ht="16.6" customHeight="1">
      <c r="A4" t="s" s="10">
        <v>2</v>
      </c>
      <c r="B4" s="11"/>
      <c r="C4" s="11"/>
      <c r="D4" s="11"/>
      <c r="E4" s="8"/>
      <c r="F4" s="8"/>
      <c r="G4" s="9"/>
    </row>
    <row r="5" ht="13.65" customHeight="1">
      <c r="A5" t="s" s="12">
        <v>3</v>
      </c>
      <c r="B5" t="s" s="12">
        <v>4</v>
      </c>
      <c r="C5" t="s" s="12">
        <v>5</v>
      </c>
      <c r="D5" t="s" s="12">
        <v>6</v>
      </c>
      <c r="E5" s="13"/>
      <c r="F5" s="8"/>
      <c r="G5" s="9"/>
    </row>
    <row r="6" ht="13.65" customHeight="1">
      <c r="A6" t="s" s="14">
        <v>7</v>
      </c>
      <c r="B6" s="15">
        <v>75</v>
      </c>
      <c r="C6" t="s" s="16">
        <v>8</v>
      </c>
      <c r="D6" t="s" s="16">
        <v>9</v>
      </c>
      <c r="E6" s="13"/>
      <c r="F6" s="8"/>
      <c r="G6" s="9"/>
    </row>
    <row r="7" ht="13.65" customHeight="1">
      <c r="A7" t="s" s="14">
        <v>10</v>
      </c>
      <c r="B7" s="15">
        <v>150</v>
      </c>
      <c r="C7" t="s" s="16">
        <v>11</v>
      </c>
      <c r="D7" t="s" s="16">
        <v>12</v>
      </c>
      <c r="E7" s="13"/>
      <c r="F7" s="8"/>
      <c r="G7" s="9"/>
    </row>
    <row r="8" ht="13.65" customHeight="1">
      <c r="A8" t="s" s="14">
        <v>13</v>
      </c>
      <c r="B8" s="15">
        <v>200</v>
      </c>
      <c r="C8" t="s" s="16">
        <v>14</v>
      </c>
      <c r="D8" t="s" s="16">
        <v>15</v>
      </c>
      <c r="E8" s="13"/>
      <c r="F8" s="8"/>
      <c r="G8" s="9"/>
    </row>
    <row r="9" ht="13.55" customHeight="1">
      <c r="A9" s="17"/>
      <c r="B9" s="17"/>
      <c r="C9" s="17"/>
      <c r="D9" s="17"/>
      <c r="E9" s="8"/>
      <c r="F9" s="8"/>
      <c r="G9" s="9"/>
    </row>
    <row r="10" ht="16.6" customHeight="1">
      <c r="A10" t="s" s="10">
        <v>16</v>
      </c>
      <c r="B10" s="11"/>
      <c r="C10" s="11"/>
      <c r="D10" s="11"/>
      <c r="E10" s="11"/>
      <c r="F10" s="11"/>
      <c r="G10" s="9"/>
    </row>
    <row r="11" ht="13.65" customHeight="1">
      <c r="A11" t="s" s="12">
        <v>17</v>
      </c>
      <c r="B11" t="s" s="12">
        <v>18</v>
      </c>
      <c r="C11" t="s" s="12">
        <v>19</v>
      </c>
      <c r="D11" t="s" s="12">
        <v>20</v>
      </c>
      <c r="E11" t="s" s="12">
        <v>21</v>
      </c>
      <c r="F11" t="s" s="12">
        <v>22</v>
      </c>
      <c r="G11" s="18"/>
    </row>
    <row r="12" ht="13.65" customHeight="1">
      <c r="A12" t="s" s="16">
        <v>23</v>
      </c>
      <c r="B12" t="s" s="16">
        <v>24</v>
      </c>
      <c r="C12" s="19">
        <v>320</v>
      </c>
      <c r="D12" s="20">
        <f>C12*75</f>
        <v>24000</v>
      </c>
      <c r="E12" s="20">
        <f>C12*150</f>
        <v>48000</v>
      </c>
      <c r="F12" s="20">
        <f>C12*200</f>
        <v>64000</v>
      </c>
      <c r="G12" s="18"/>
    </row>
    <row r="13" ht="13.65" customHeight="1">
      <c r="A13" t="s" s="16">
        <v>25</v>
      </c>
      <c r="B13" t="s" s="16">
        <v>26</v>
      </c>
      <c r="C13" s="19">
        <v>1200</v>
      </c>
      <c r="D13" s="20">
        <f>C13*75</f>
        <v>90000</v>
      </c>
      <c r="E13" s="20">
        <f>C13*150</f>
        <v>180000</v>
      </c>
      <c r="F13" s="20">
        <f>C13*200</f>
        <v>240000</v>
      </c>
      <c r="G13" s="18"/>
    </row>
    <row r="14" ht="13.65" customHeight="1">
      <c r="A14" t="s" s="16">
        <v>27</v>
      </c>
      <c r="B14" t="s" s="16">
        <v>28</v>
      </c>
      <c r="C14" s="19">
        <v>1600</v>
      </c>
      <c r="D14" s="20">
        <f>C14*75</f>
        <v>120000</v>
      </c>
      <c r="E14" s="20">
        <f>C14*150</f>
        <v>240000</v>
      </c>
      <c r="F14" s="20">
        <f>C14*200</f>
        <v>320000</v>
      </c>
      <c r="G14" s="18"/>
    </row>
    <row r="15" ht="13.65" customHeight="1">
      <c r="A15" t="s" s="21">
        <v>29</v>
      </c>
      <c r="B15" s="22"/>
      <c r="C15" s="23">
        <f>SUM(C12:C14)</f>
        <v>3120</v>
      </c>
      <c r="D15" s="24">
        <f>SUM(D12:D14)</f>
        <v>234000</v>
      </c>
      <c r="E15" s="24">
        <f>SUM(E12:E14)</f>
        <v>468000</v>
      </c>
      <c r="F15" s="24">
        <f>SUM(F12:F14)</f>
        <v>624000</v>
      </c>
      <c r="G15" s="18"/>
    </row>
  </sheetData>
  <mergeCells count="2">
    <mergeCell ref="A1:G1"/>
    <mergeCell ref="A2:G2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22"/>
  <sheetViews>
    <sheetView workbookViewId="0" showGridLines="0" defaultGridColor="1"/>
  </sheetViews>
  <sheetFormatPr defaultColWidth="8.66667" defaultRowHeight="15" customHeight="1" outlineLevelRow="0" outlineLevelCol="0"/>
  <cols>
    <col min="1" max="1" width="25" style="25" customWidth="1"/>
    <col min="2" max="2" width="55" style="25" customWidth="1"/>
    <col min="3" max="3" width="12" style="25" customWidth="1"/>
    <col min="4" max="6" width="14" style="25" customWidth="1"/>
    <col min="7" max="16384" width="8.67188" style="25" customWidth="1"/>
  </cols>
  <sheetData>
    <row r="1" ht="18.5" customHeight="1">
      <c r="A1" t="s" s="26">
        <v>30</v>
      </c>
      <c r="B1" s="27"/>
      <c r="C1" s="27"/>
      <c r="D1" s="27"/>
      <c r="E1" s="27"/>
      <c r="F1" s="27"/>
    </row>
    <row r="2" ht="13.65" customHeight="1">
      <c r="A2" t="s" s="28">
        <v>31</v>
      </c>
      <c r="B2" s="8"/>
      <c r="C2" s="8"/>
      <c r="D2" s="8"/>
      <c r="E2" s="8"/>
      <c r="F2" s="8"/>
    </row>
    <row r="3" ht="13.55" customHeight="1">
      <c r="A3" s="11"/>
      <c r="B3" s="11"/>
      <c r="C3" s="11"/>
      <c r="D3" s="11"/>
      <c r="E3" s="11"/>
      <c r="F3" s="11"/>
    </row>
    <row r="4" ht="13.65" customHeight="1">
      <c r="A4" t="s" s="12">
        <v>32</v>
      </c>
      <c r="B4" t="s" s="12">
        <v>5</v>
      </c>
      <c r="C4" t="s" s="12">
        <v>19</v>
      </c>
      <c r="D4" t="s" s="12">
        <v>33</v>
      </c>
      <c r="E4" t="s" s="12">
        <v>34</v>
      </c>
      <c r="F4" t="s" s="12">
        <v>35</v>
      </c>
    </row>
    <row r="5" ht="13.65" customHeight="1">
      <c r="A5" t="s" s="16">
        <v>36</v>
      </c>
      <c r="B5" t="s" s="16">
        <v>37</v>
      </c>
      <c r="C5" s="19">
        <v>80</v>
      </c>
      <c r="D5" s="20">
        <f>C5*75</f>
        <v>6000</v>
      </c>
      <c r="E5" s="20">
        <f>C5*150</f>
        <v>12000</v>
      </c>
      <c r="F5" s="20">
        <f>C5*200</f>
        <v>16000</v>
      </c>
    </row>
    <row r="6" ht="13.65" customHeight="1">
      <c r="A6" t="s" s="16">
        <v>38</v>
      </c>
      <c r="B6" t="s" s="16">
        <v>39</v>
      </c>
      <c r="C6" s="19">
        <v>40</v>
      </c>
      <c r="D6" s="20">
        <f>C6*75</f>
        <v>3000</v>
      </c>
      <c r="E6" s="20">
        <f>C6*150</f>
        <v>6000</v>
      </c>
      <c r="F6" s="20">
        <f>C6*200</f>
        <v>8000</v>
      </c>
    </row>
    <row r="7" ht="13.65" customHeight="1">
      <c r="A7" t="s" s="16">
        <v>40</v>
      </c>
      <c r="B7" t="s" s="16">
        <v>41</v>
      </c>
      <c r="C7" s="19">
        <v>32</v>
      </c>
      <c r="D7" s="20">
        <f>C7*75</f>
        <v>2400</v>
      </c>
      <c r="E7" s="20">
        <f>C7*150</f>
        <v>4800</v>
      </c>
      <c r="F7" s="20">
        <f>C7*200</f>
        <v>6400</v>
      </c>
    </row>
    <row r="8" ht="13.65" customHeight="1">
      <c r="A8" t="s" s="16">
        <v>42</v>
      </c>
      <c r="B8" t="s" s="16">
        <v>43</v>
      </c>
      <c r="C8" s="19">
        <v>40</v>
      </c>
      <c r="D8" s="20">
        <f>C8*75</f>
        <v>3000</v>
      </c>
      <c r="E8" s="20">
        <f>C8*150</f>
        <v>6000</v>
      </c>
      <c r="F8" s="20">
        <f>C8*200</f>
        <v>8000</v>
      </c>
    </row>
    <row r="9" ht="13.65" customHeight="1">
      <c r="A9" t="s" s="16">
        <v>44</v>
      </c>
      <c r="B9" t="s" s="16">
        <v>45</v>
      </c>
      <c r="C9" s="19">
        <v>48</v>
      </c>
      <c r="D9" s="20">
        <f>C9*75</f>
        <v>3600</v>
      </c>
      <c r="E9" s="20">
        <f>C9*150</f>
        <v>7200</v>
      </c>
      <c r="F9" s="20">
        <f>C9*200</f>
        <v>9600</v>
      </c>
    </row>
    <row r="10" ht="13.65" customHeight="1">
      <c r="A10" t="s" s="16">
        <v>46</v>
      </c>
      <c r="B10" t="s" s="16">
        <v>47</v>
      </c>
      <c r="C10" s="19">
        <v>32</v>
      </c>
      <c r="D10" s="20">
        <f>C10*75</f>
        <v>2400</v>
      </c>
      <c r="E10" s="20">
        <f>C10*150</f>
        <v>4800</v>
      </c>
      <c r="F10" s="20">
        <f>C10*200</f>
        <v>6400</v>
      </c>
    </row>
    <row r="11" ht="13.65" customHeight="1">
      <c r="A11" t="s" s="16">
        <v>48</v>
      </c>
      <c r="B11" t="s" s="16">
        <v>49</v>
      </c>
      <c r="C11" s="19">
        <v>24</v>
      </c>
      <c r="D11" s="20">
        <f>C11*75</f>
        <v>1800</v>
      </c>
      <c r="E11" s="20">
        <f>C11*150</f>
        <v>3600</v>
      </c>
      <c r="F11" s="20">
        <f>C11*200</f>
        <v>4800</v>
      </c>
    </row>
    <row r="12" ht="13.65" customHeight="1">
      <c r="A12" t="s" s="16">
        <v>50</v>
      </c>
      <c r="B12" t="s" s="16">
        <v>51</v>
      </c>
      <c r="C12" s="19">
        <v>24</v>
      </c>
      <c r="D12" s="20">
        <f>C12*75</f>
        <v>1800</v>
      </c>
      <c r="E12" s="20">
        <f>C12*150</f>
        <v>3600</v>
      </c>
      <c r="F12" s="20">
        <f>C12*200</f>
        <v>4800</v>
      </c>
    </row>
    <row r="13" ht="13.65" customHeight="1">
      <c r="A13" t="s" s="21">
        <v>52</v>
      </c>
      <c r="B13" s="22"/>
      <c r="C13" s="23">
        <f>SUM(C5:C12)</f>
        <v>320</v>
      </c>
      <c r="D13" s="24">
        <f>SUM(D5:D12)</f>
        <v>24000</v>
      </c>
      <c r="E13" s="24">
        <f>SUM(E5:E12)</f>
        <v>48000</v>
      </c>
      <c r="F13" s="24">
        <f>SUM(F5:F12)</f>
        <v>64000</v>
      </c>
    </row>
    <row r="14" ht="13.55" customHeight="1">
      <c r="A14" s="17"/>
      <c r="B14" s="17"/>
      <c r="C14" s="17"/>
      <c r="D14" s="17"/>
      <c r="E14" s="17"/>
      <c r="F14" s="17"/>
    </row>
    <row r="15" ht="14.6" customHeight="1">
      <c r="A15" t="s" s="29">
        <v>53</v>
      </c>
      <c r="B15" s="11"/>
      <c r="C15" s="11"/>
      <c r="D15" s="8"/>
      <c r="E15" s="8"/>
      <c r="F15" s="8"/>
    </row>
    <row r="16" ht="13.65" customHeight="1">
      <c r="A16" t="s" s="12">
        <v>54</v>
      </c>
      <c r="B16" t="s" s="12">
        <v>5</v>
      </c>
      <c r="C16" t="s" s="12">
        <v>55</v>
      </c>
      <c r="D16" s="13"/>
      <c r="E16" s="8"/>
      <c r="F16" s="8"/>
    </row>
    <row r="17" ht="13.65" customHeight="1">
      <c r="A17" t="s" s="16">
        <v>56</v>
      </c>
      <c r="B17" t="s" s="16">
        <v>57</v>
      </c>
      <c r="C17" s="20">
        <v>150</v>
      </c>
      <c r="D17" s="13"/>
      <c r="E17" s="8"/>
      <c r="F17" s="8"/>
    </row>
    <row r="18" ht="13.65" customHeight="1">
      <c r="A18" t="s" s="16">
        <v>58</v>
      </c>
      <c r="B18" t="s" s="16">
        <v>59</v>
      </c>
      <c r="C18" s="20">
        <v>200</v>
      </c>
      <c r="D18" s="13"/>
      <c r="E18" s="8"/>
      <c r="F18" s="8"/>
    </row>
    <row r="19" ht="13.65" customHeight="1">
      <c r="A19" t="s" s="16">
        <v>60</v>
      </c>
      <c r="B19" t="s" s="16">
        <v>61</v>
      </c>
      <c r="C19" s="20">
        <v>300</v>
      </c>
      <c r="D19" s="13"/>
      <c r="E19" s="8"/>
      <c r="F19" s="8"/>
    </row>
    <row r="20" ht="13.65" customHeight="1">
      <c r="A20" t="s" s="16">
        <v>62</v>
      </c>
      <c r="B20" t="s" s="16">
        <v>63</v>
      </c>
      <c r="C20" s="20">
        <v>150</v>
      </c>
      <c r="D20" s="13"/>
      <c r="E20" s="8"/>
      <c r="F20" s="8"/>
    </row>
    <row r="21" ht="13.65" customHeight="1">
      <c r="A21" t="s" s="16">
        <v>64</v>
      </c>
      <c r="B21" t="s" s="16">
        <v>65</v>
      </c>
      <c r="C21" s="20">
        <v>500</v>
      </c>
      <c r="D21" s="13"/>
      <c r="E21" s="8"/>
      <c r="F21" s="8"/>
    </row>
    <row r="22" ht="13.65" customHeight="1">
      <c r="A22" t="s" s="30">
        <v>66</v>
      </c>
      <c r="B22" s="31"/>
      <c r="C22" s="32">
        <f>SUM(C17:C21)</f>
        <v>1300</v>
      </c>
      <c r="D22" s="33"/>
      <c r="E22" s="8"/>
      <c r="F22" s="8"/>
    </row>
  </sheetData>
  <mergeCells count="1">
    <mergeCell ref="A1:F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17"/>
  <sheetViews>
    <sheetView workbookViewId="0" showGridLines="0" defaultGridColor="1"/>
  </sheetViews>
  <sheetFormatPr defaultColWidth="8.66667" defaultRowHeight="15" customHeight="1" outlineLevelRow="0" outlineLevelCol="0"/>
  <cols>
    <col min="1" max="1" width="25" style="34" customWidth="1"/>
    <col min="2" max="2" width="55" style="34" customWidth="1"/>
    <col min="3" max="3" width="12" style="34" customWidth="1"/>
    <col min="4" max="6" width="14" style="34" customWidth="1"/>
    <col min="7" max="16384" width="8.67188" style="34" customWidth="1"/>
  </cols>
  <sheetData>
    <row r="1" ht="18.5" customHeight="1">
      <c r="A1" t="s" s="26">
        <v>67</v>
      </c>
      <c r="B1" s="27"/>
      <c r="C1" s="27"/>
      <c r="D1" s="27"/>
      <c r="E1" s="27"/>
      <c r="F1" s="27"/>
    </row>
    <row r="2" ht="13.65" customHeight="1">
      <c r="A2" t="s" s="28">
        <v>68</v>
      </c>
      <c r="B2" s="8"/>
      <c r="C2" s="8"/>
      <c r="D2" s="8"/>
      <c r="E2" s="8"/>
      <c r="F2" s="8"/>
    </row>
    <row r="3" ht="13.55" customHeight="1">
      <c r="A3" s="11"/>
      <c r="B3" s="11"/>
      <c r="C3" s="11"/>
      <c r="D3" s="11"/>
      <c r="E3" s="11"/>
      <c r="F3" s="11"/>
    </row>
    <row r="4" ht="13.65" customHeight="1">
      <c r="A4" t="s" s="12">
        <v>32</v>
      </c>
      <c r="B4" t="s" s="12">
        <v>5</v>
      </c>
      <c r="C4" t="s" s="12">
        <v>19</v>
      </c>
      <c r="D4" t="s" s="12">
        <v>33</v>
      </c>
      <c r="E4" t="s" s="12">
        <v>34</v>
      </c>
      <c r="F4" t="s" s="12">
        <v>35</v>
      </c>
    </row>
    <row r="5" ht="13.65" customHeight="1">
      <c r="A5" t="s" s="16">
        <v>69</v>
      </c>
      <c r="B5" t="s" s="16">
        <v>70</v>
      </c>
      <c r="C5" s="19">
        <v>160</v>
      </c>
      <c r="D5" s="20">
        <f>C5*75</f>
        <v>12000</v>
      </c>
      <c r="E5" s="20">
        <f>C5*150</f>
        <v>24000</v>
      </c>
      <c r="F5" s="20">
        <f>C5*200</f>
        <v>32000</v>
      </c>
    </row>
    <row r="6" ht="13.65" customHeight="1">
      <c r="A6" t="s" s="16">
        <v>71</v>
      </c>
      <c r="B6" t="s" s="16">
        <v>72</v>
      </c>
      <c r="C6" s="19">
        <v>200</v>
      </c>
      <c r="D6" s="20">
        <f>C6*75</f>
        <v>15000</v>
      </c>
      <c r="E6" s="20">
        <f>C6*150</f>
        <v>30000</v>
      </c>
      <c r="F6" s="20">
        <f>C6*200</f>
        <v>40000</v>
      </c>
    </row>
    <row r="7" ht="13.65" customHeight="1">
      <c r="A7" t="s" s="16">
        <v>73</v>
      </c>
      <c r="B7" t="s" s="16">
        <v>74</v>
      </c>
      <c r="C7" s="19">
        <v>120</v>
      </c>
      <c r="D7" s="20">
        <f>C7*75</f>
        <v>9000</v>
      </c>
      <c r="E7" s="20">
        <f>C7*150</f>
        <v>18000</v>
      </c>
      <c r="F7" s="20">
        <f>C7*200</f>
        <v>24000</v>
      </c>
    </row>
    <row r="8" ht="13.65" customHeight="1">
      <c r="A8" t="s" s="16">
        <v>75</v>
      </c>
      <c r="B8" t="s" s="16">
        <v>76</v>
      </c>
      <c r="C8" s="19">
        <v>80</v>
      </c>
      <c r="D8" s="20">
        <f>C8*75</f>
        <v>6000</v>
      </c>
      <c r="E8" s="20">
        <f>C8*150</f>
        <v>12000</v>
      </c>
      <c r="F8" s="20">
        <f>C8*200</f>
        <v>16000</v>
      </c>
    </row>
    <row r="9" ht="13.65" customHeight="1">
      <c r="A9" t="s" s="16">
        <v>77</v>
      </c>
      <c r="B9" t="s" s="16">
        <v>78</v>
      </c>
      <c r="C9" s="19">
        <v>120</v>
      </c>
      <c r="D9" s="20">
        <f>C9*75</f>
        <v>9000</v>
      </c>
      <c r="E9" s="20">
        <f>C9*150</f>
        <v>18000</v>
      </c>
      <c r="F9" s="20">
        <f>C9*200</f>
        <v>24000</v>
      </c>
    </row>
    <row r="10" ht="13.65" customHeight="1">
      <c r="A10" t="s" s="16">
        <v>79</v>
      </c>
      <c r="B10" t="s" s="16">
        <v>80</v>
      </c>
      <c r="C10" s="19">
        <v>160</v>
      </c>
      <c r="D10" s="20">
        <f>C10*75</f>
        <v>12000</v>
      </c>
      <c r="E10" s="20">
        <f>C10*150</f>
        <v>24000</v>
      </c>
      <c r="F10" s="20">
        <f>C10*200</f>
        <v>32000</v>
      </c>
    </row>
    <row r="11" ht="13.65" customHeight="1">
      <c r="A11" t="s" s="16">
        <v>81</v>
      </c>
      <c r="B11" t="s" s="16">
        <v>82</v>
      </c>
      <c r="C11" s="19">
        <v>80</v>
      </c>
      <c r="D11" s="20">
        <f>C11*75</f>
        <v>6000</v>
      </c>
      <c r="E11" s="20">
        <f>C11*150</f>
        <v>12000</v>
      </c>
      <c r="F11" s="20">
        <f>C11*200</f>
        <v>16000</v>
      </c>
    </row>
    <row r="12" ht="13.65" customHeight="1">
      <c r="A12" t="s" s="16">
        <v>83</v>
      </c>
      <c r="B12" t="s" s="16">
        <v>84</v>
      </c>
      <c r="C12" s="19">
        <v>80</v>
      </c>
      <c r="D12" s="20">
        <f>C12*75</f>
        <v>6000</v>
      </c>
      <c r="E12" s="20">
        <f>C12*150</f>
        <v>12000</v>
      </c>
      <c r="F12" s="20">
        <f>C12*200</f>
        <v>16000</v>
      </c>
    </row>
    <row r="13" ht="13.65" customHeight="1">
      <c r="A13" t="s" s="16">
        <v>85</v>
      </c>
      <c r="B13" t="s" s="16">
        <v>86</v>
      </c>
      <c r="C13" s="19">
        <v>60</v>
      </c>
      <c r="D13" s="20">
        <f>C13*75</f>
        <v>4500</v>
      </c>
      <c r="E13" s="20">
        <f>C13*150</f>
        <v>9000</v>
      </c>
      <c r="F13" s="20">
        <f>C13*200</f>
        <v>12000</v>
      </c>
    </row>
    <row r="14" ht="13.65" customHeight="1">
      <c r="A14" t="s" s="16">
        <v>87</v>
      </c>
      <c r="B14" t="s" s="16">
        <v>88</v>
      </c>
      <c r="C14" s="19">
        <v>60</v>
      </c>
      <c r="D14" s="20">
        <f>C14*75</f>
        <v>4500</v>
      </c>
      <c r="E14" s="20">
        <f>C14*150</f>
        <v>9000</v>
      </c>
      <c r="F14" s="20">
        <f>C14*200</f>
        <v>12000</v>
      </c>
    </row>
    <row r="15" ht="13.65" customHeight="1">
      <c r="A15" t="s" s="16">
        <v>89</v>
      </c>
      <c r="B15" t="s" s="16">
        <v>90</v>
      </c>
      <c r="C15" s="19">
        <v>40</v>
      </c>
      <c r="D15" s="20">
        <f>C15*75</f>
        <v>3000</v>
      </c>
      <c r="E15" s="20">
        <f>C15*150</f>
        <v>6000</v>
      </c>
      <c r="F15" s="20">
        <f>C15*200</f>
        <v>8000</v>
      </c>
    </row>
    <row r="16" ht="13.65" customHeight="1">
      <c r="A16" t="s" s="16">
        <v>91</v>
      </c>
      <c r="B16" t="s" s="16">
        <v>92</v>
      </c>
      <c r="C16" s="19">
        <v>40</v>
      </c>
      <c r="D16" s="20">
        <f>C16*75</f>
        <v>3000</v>
      </c>
      <c r="E16" s="20">
        <f>C16*150</f>
        <v>6000</v>
      </c>
      <c r="F16" s="20">
        <f>C16*200</f>
        <v>8000</v>
      </c>
    </row>
    <row r="17" ht="13.65" customHeight="1">
      <c r="A17" t="s" s="21">
        <v>93</v>
      </c>
      <c r="B17" s="22"/>
      <c r="C17" s="23">
        <f>SUM(C5:C16)</f>
        <v>1200</v>
      </c>
      <c r="D17" s="24">
        <f>SUM(D5:D16)</f>
        <v>90000</v>
      </c>
      <c r="E17" s="24">
        <f>SUM(E5:E16)</f>
        <v>180000</v>
      </c>
      <c r="F17" s="24">
        <f>SUM(F5:F16)</f>
        <v>240000</v>
      </c>
    </row>
  </sheetData>
  <mergeCells count="1">
    <mergeCell ref="A1:F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34"/>
  <sheetViews>
    <sheetView workbookViewId="0" showGridLines="0" defaultGridColor="1"/>
  </sheetViews>
  <sheetFormatPr defaultColWidth="8.66667" defaultRowHeight="15" customHeight="1" outlineLevelRow="0" outlineLevelCol="0"/>
  <cols>
    <col min="1" max="1" width="15" style="35" customWidth="1"/>
    <col min="2" max="2" width="35" style="35" customWidth="1"/>
    <col min="3" max="5" width="14" style="35" customWidth="1"/>
    <col min="6" max="7" width="8.67188" style="35" customWidth="1"/>
    <col min="8" max="16384" width="8.67188" style="35" customWidth="1"/>
  </cols>
  <sheetData>
    <row r="1" ht="18.5" customHeight="1">
      <c r="A1" t="s" s="26">
        <v>94</v>
      </c>
      <c r="B1" s="27"/>
      <c r="C1" s="27"/>
      <c r="D1" s="27"/>
      <c r="E1" s="27"/>
      <c r="F1" s="36"/>
      <c r="G1" s="36"/>
    </row>
    <row r="2" ht="13.65" customHeight="1">
      <c r="A2" t="s" s="28">
        <v>95</v>
      </c>
      <c r="B2" s="8"/>
      <c r="C2" s="8"/>
      <c r="D2" s="8"/>
      <c r="E2" s="8"/>
      <c r="F2" s="9"/>
      <c r="G2" s="9"/>
    </row>
    <row r="3" ht="13.55" customHeight="1">
      <c r="A3" s="8"/>
      <c r="B3" s="8"/>
      <c r="C3" s="8"/>
      <c r="D3" s="8"/>
      <c r="E3" s="8"/>
      <c r="F3" s="9"/>
      <c r="G3" s="9"/>
    </row>
    <row r="4" ht="14.6" customHeight="1">
      <c r="A4" t="s" s="29">
        <v>96</v>
      </c>
      <c r="B4" s="11"/>
      <c r="C4" s="11"/>
      <c r="D4" s="11"/>
      <c r="E4" s="8"/>
      <c r="F4" s="9"/>
      <c r="G4" s="9"/>
    </row>
    <row r="5" ht="13.65" customHeight="1">
      <c r="A5" t="s" s="12">
        <v>3</v>
      </c>
      <c r="B5" t="s" s="12">
        <v>5</v>
      </c>
      <c r="C5" t="s" s="12">
        <v>97</v>
      </c>
      <c r="D5" t="s" s="12">
        <v>6</v>
      </c>
      <c r="E5" s="13"/>
      <c r="F5" s="9"/>
      <c r="G5" s="9"/>
    </row>
    <row r="6" ht="13.65" customHeight="1">
      <c r="A6" t="s" s="16">
        <v>98</v>
      </c>
      <c r="B6" t="s" s="16">
        <v>99</v>
      </c>
      <c r="C6" t="s" s="16">
        <v>100</v>
      </c>
      <c r="D6" t="s" s="16">
        <v>101</v>
      </c>
      <c r="E6" s="13"/>
      <c r="F6" s="9"/>
      <c r="G6" s="9"/>
    </row>
    <row r="7" ht="13.65" customHeight="1">
      <c r="A7" t="s" s="16">
        <v>102</v>
      </c>
      <c r="B7" t="s" s="16">
        <v>103</v>
      </c>
      <c r="C7" t="s" s="16">
        <v>104</v>
      </c>
      <c r="D7" t="s" s="16">
        <v>105</v>
      </c>
      <c r="E7" s="13"/>
      <c r="F7" s="9"/>
      <c r="G7" s="9"/>
    </row>
    <row r="8" ht="13.65" customHeight="1">
      <c r="A8" t="s" s="16">
        <v>106</v>
      </c>
      <c r="B8" t="s" s="16">
        <v>107</v>
      </c>
      <c r="C8" t="s" s="16">
        <v>108</v>
      </c>
      <c r="D8" t="s" s="16">
        <v>109</v>
      </c>
      <c r="E8" s="13"/>
      <c r="F8" s="9"/>
      <c r="G8" s="9"/>
    </row>
    <row r="9" ht="13.55" customHeight="1">
      <c r="A9" s="17"/>
      <c r="B9" s="17"/>
      <c r="C9" s="17"/>
      <c r="D9" s="17"/>
      <c r="E9" s="8"/>
      <c r="F9" s="9"/>
      <c r="G9" s="9"/>
    </row>
    <row r="10" ht="14.6" customHeight="1">
      <c r="A10" t="s" s="29">
        <v>110</v>
      </c>
      <c r="B10" s="11"/>
      <c r="C10" s="11"/>
      <c r="D10" s="11"/>
      <c r="E10" s="11"/>
      <c r="F10" s="9"/>
      <c r="G10" s="9"/>
    </row>
    <row r="11" ht="13.65" customHeight="1">
      <c r="A11" t="s" s="12">
        <v>111</v>
      </c>
      <c r="B11" t="s" s="12">
        <v>54</v>
      </c>
      <c r="C11" t="s" s="12">
        <v>98</v>
      </c>
      <c r="D11" t="s" s="12">
        <v>102</v>
      </c>
      <c r="E11" t="s" s="12">
        <v>106</v>
      </c>
      <c r="F11" s="18"/>
      <c r="G11" s="9"/>
    </row>
    <row r="12" ht="13.65" customHeight="1">
      <c r="A12" t="s" s="16">
        <v>112</v>
      </c>
      <c r="B12" t="s" s="16">
        <v>113</v>
      </c>
      <c r="C12" s="20">
        <v>3000</v>
      </c>
      <c r="D12" s="20">
        <v>8000</v>
      </c>
      <c r="E12" s="20">
        <v>15000</v>
      </c>
      <c r="F12" s="18"/>
      <c r="G12" s="9"/>
    </row>
    <row r="13" ht="13.65" customHeight="1">
      <c r="A13" t="s" s="16">
        <v>112</v>
      </c>
      <c r="B13" t="s" s="16">
        <v>114</v>
      </c>
      <c r="C13" s="20">
        <v>500</v>
      </c>
      <c r="D13" s="20">
        <v>1500</v>
      </c>
      <c r="E13" s="20">
        <v>3000</v>
      </c>
      <c r="F13" s="18"/>
      <c r="G13" s="9"/>
    </row>
    <row r="14" ht="13.65" customHeight="1">
      <c r="A14" t="s" s="16">
        <v>112</v>
      </c>
      <c r="B14" t="s" s="16">
        <v>115</v>
      </c>
      <c r="C14" s="20">
        <v>0</v>
      </c>
      <c r="D14" s="20">
        <v>800</v>
      </c>
      <c r="E14" s="20">
        <v>1500</v>
      </c>
      <c r="F14" s="18"/>
      <c r="G14" s="9"/>
    </row>
    <row r="15" ht="13.65" customHeight="1">
      <c r="A15" t="s" s="16">
        <v>116</v>
      </c>
      <c r="B15" t="s" s="16">
        <v>117</v>
      </c>
      <c r="C15" s="20">
        <v>600</v>
      </c>
      <c r="D15" s="20">
        <v>600</v>
      </c>
      <c r="E15" s="20">
        <v>600</v>
      </c>
      <c r="F15" s="18"/>
      <c r="G15" s="9"/>
    </row>
    <row r="16" ht="13.65" customHeight="1">
      <c r="A16" t="s" s="16">
        <v>116</v>
      </c>
      <c r="B16" t="s" s="16">
        <v>118</v>
      </c>
      <c r="C16" s="20">
        <v>1440</v>
      </c>
      <c r="D16" s="20">
        <v>1440</v>
      </c>
      <c r="E16" s="20">
        <v>1440</v>
      </c>
      <c r="F16" s="18"/>
      <c r="G16" s="9"/>
    </row>
    <row r="17" ht="13.65" customHeight="1">
      <c r="A17" t="s" s="16">
        <v>116</v>
      </c>
      <c r="B17" t="s" s="16">
        <v>119</v>
      </c>
      <c r="C17" s="20">
        <v>0</v>
      </c>
      <c r="D17" s="20">
        <v>500</v>
      </c>
      <c r="E17" s="20">
        <v>1500</v>
      </c>
      <c r="F17" s="18"/>
      <c r="G17" s="9"/>
    </row>
    <row r="18" ht="13.65" customHeight="1">
      <c r="A18" t="s" s="16">
        <v>120</v>
      </c>
      <c r="B18" t="s" s="16">
        <v>121</v>
      </c>
      <c r="C18" s="20">
        <v>1000</v>
      </c>
      <c r="D18" s="20">
        <v>4000</v>
      </c>
      <c r="E18" s="20">
        <v>10000</v>
      </c>
      <c r="F18" s="18"/>
      <c r="G18" s="9"/>
    </row>
    <row r="19" ht="13.65" customHeight="1">
      <c r="A19" t="s" s="16">
        <v>120</v>
      </c>
      <c r="B19" t="s" s="16">
        <v>122</v>
      </c>
      <c r="C19" s="20">
        <v>300</v>
      </c>
      <c r="D19" s="20">
        <v>900</v>
      </c>
      <c r="E19" s="20">
        <v>2000</v>
      </c>
      <c r="F19" s="18"/>
      <c r="G19" s="9"/>
    </row>
    <row r="20" ht="13.65" customHeight="1">
      <c r="A20" t="s" s="16">
        <v>120</v>
      </c>
      <c r="B20" t="s" s="16">
        <v>123</v>
      </c>
      <c r="C20" s="20">
        <v>200</v>
      </c>
      <c r="D20" s="20">
        <v>500</v>
      </c>
      <c r="E20" s="20">
        <v>1000</v>
      </c>
      <c r="F20" s="18"/>
      <c r="G20" s="9"/>
    </row>
    <row r="21" ht="13.65" customHeight="1">
      <c r="A21" t="s" s="16">
        <v>120</v>
      </c>
      <c r="B21" t="s" s="16">
        <v>124</v>
      </c>
      <c r="C21" s="20">
        <v>200</v>
      </c>
      <c r="D21" s="20">
        <v>600</v>
      </c>
      <c r="E21" s="20">
        <v>1500</v>
      </c>
      <c r="F21" s="18"/>
      <c r="G21" s="9"/>
    </row>
    <row r="22" ht="13.65" customHeight="1">
      <c r="A22" t="s" s="16">
        <v>125</v>
      </c>
      <c r="B22" t="s" s="16">
        <v>126</v>
      </c>
      <c r="C22" s="20">
        <v>300</v>
      </c>
      <c r="D22" s="20">
        <v>800</v>
      </c>
      <c r="E22" s="20">
        <v>2000</v>
      </c>
      <c r="F22" s="18"/>
      <c r="G22" s="9"/>
    </row>
    <row r="23" ht="13.65" customHeight="1">
      <c r="A23" t="s" s="16">
        <v>125</v>
      </c>
      <c r="B23" t="s" s="16">
        <v>127</v>
      </c>
      <c r="C23" s="20">
        <v>100</v>
      </c>
      <c r="D23" s="20">
        <v>300</v>
      </c>
      <c r="E23" s="20">
        <v>500</v>
      </c>
      <c r="F23" s="18"/>
      <c r="G23" s="9"/>
    </row>
    <row r="24" ht="13.65" customHeight="1">
      <c r="A24" t="s" s="16">
        <v>125</v>
      </c>
      <c r="B24" t="s" s="16">
        <v>128</v>
      </c>
      <c r="C24" s="20">
        <v>100</v>
      </c>
      <c r="D24" s="20">
        <v>250</v>
      </c>
      <c r="E24" s="20">
        <v>500</v>
      </c>
      <c r="F24" s="18"/>
      <c r="G24" s="9"/>
    </row>
    <row r="25" ht="13.65" customHeight="1">
      <c r="A25" t="s" s="16">
        <v>129</v>
      </c>
      <c r="B25" t="s" s="16">
        <v>130</v>
      </c>
      <c r="C25" s="20">
        <f>SUM(C12:C24)*0.1</f>
        <v>774</v>
      </c>
      <c r="D25" s="20">
        <f>SUM(D12:D24)*0.1</f>
        <v>2019</v>
      </c>
      <c r="E25" s="20">
        <f>SUM(E12:E24)*0.1</f>
        <v>4054</v>
      </c>
      <c r="F25" s="18"/>
      <c r="G25" s="9"/>
    </row>
    <row r="26" ht="13.65" customHeight="1">
      <c r="A26" t="s" s="21">
        <v>131</v>
      </c>
      <c r="B26" s="22"/>
      <c r="C26" s="24">
        <f>SUM(C12:C25)</f>
        <v>8514</v>
      </c>
      <c r="D26" s="24">
        <f>SUM(D12:D25)</f>
        <v>22209</v>
      </c>
      <c r="E26" s="24">
        <f>SUM(E12:E25)</f>
        <v>44594</v>
      </c>
      <c r="F26" s="18"/>
      <c r="G26" s="9"/>
    </row>
    <row r="27" ht="13.55" customHeight="1">
      <c r="A27" s="17"/>
      <c r="B27" s="17"/>
      <c r="C27" s="17"/>
      <c r="D27" s="17"/>
      <c r="E27" s="17"/>
      <c r="F27" s="9"/>
      <c r="G27" s="9"/>
    </row>
    <row r="28" ht="14.6" customHeight="1">
      <c r="A28" t="s" s="29">
        <v>132</v>
      </c>
      <c r="B28" s="11"/>
      <c r="C28" s="11"/>
      <c r="D28" s="11"/>
      <c r="E28" s="11"/>
      <c r="F28" s="9"/>
      <c r="G28" s="9"/>
    </row>
    <row r="29" ht="13.65" customHeight="1">
      <c r="A29" t="s" s="12">
        <v>111</v>
      </c>
      <c r="B29" t="s" s="12">
        <v>54</v>
      </c>
      <c r="C29" t="s" s="12">
        <v>98</v>
      </c>
      <c r="D29" t="s" s="12">
        <v>102</v>
      </c>
      <c r="E29" t="s" s="12">
        <v>106</v>
      </c>
      <c r="F29" s="18"/>
      <c r="G29" s="9"/>
    </row>
    <row r="30" ht="13.65" customHeight="1">
      <c r="A30" t="s" s="16">
        <v>116</v>
      </c>
      <c r="B30" t="s" s="16">
        <v>118</v>
      </c>
      <c r="C30" s="20">
        <v>1440</v>
      </c>
      <c r="D30" s="20">
        <v>1440</v>
      </c>
      <c r="E30" s="20">
        <v>1440</v>
      </c>
      <c r="F30" s="18"/>
      <c r="G30" s="9"/>
    </row>
    <row r="31" ht="13.65" customHeight="1">
      <c r="A31" t="s" s="16">
        <v>129</v>
      </c>
      <c r="B31" t="s" s="16">
        <v>133</v>
      </c>
      <c r="C31" s="20">
        <v>150</v>
      </c>
      <c r="D31" s="20">
        <v>550</v>
      </c>
      <c r="E31" s="20">
        <v>1350</v>
      </c>
      <c r="F31" s="18"/>
      <c r="G31" s="9"/>
    </row>
    <row r="32" ht="13.65" customHeight="1">
      <c r="A32" t="s" s="16">
        <v>129</v>
      </c>
      <c r="B32" t="s" s="16">
        <v>134</v>
      </c>
      <c r="C32" s="20">
        <v>300</v>
      </c>
      <c r="D32" s="20">
        <v>800</v>
      </c>
      <c r="E32" s="20">
        <v>1500</v>
      </c>
      <c r="F32" s="18"/>
      <c r="G32" s="9"/>
    </row>
    <row r="33" ht="13.65" customHeight="1">
      <c r="A33" t="s" s="16">
        <v>129</v>
      </c>
      <c r="B33" t="s" s="16">
        <v>135</v>
      </c>
      <c r="C33" s="20">
        <v>200</v>
      </c>
      <c r="D33" s="20">
        <v>400</v>
      </c>
      <c r="E33" s="20">
        <v>800</v>
      </c>
      <c r="F33" s="18"/>
      <c r="G33" s="9"/>
    </row>
    <row r="34" ht="13.65" customHeight="1">
      <c r="A34" t="s" s="21">
        <v>136</v>
      </c>
      <c r="B34" s="22"/>
      <c r="C34" s="24">
        <f>SUM(C30:C33)</f>
        <v>2090</v>
      </c>
      <c r="D34" s="24">
        <f>SUM(D30:D33)</f>
        <v>3190</v>
      </c>
      <c r="E34" s="24">
        <f>SUM(E30:E33)</f>
        <v>5090</v>
      </c>
      <c r="F34" s="18"/>
      <c r="G34" s="9"/>
    </row>
  </sheetData>
  <mergeCells count="1">
    <mergeCell ref="A1:G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66667" defaultRowHeight="15" customHeight="1" outlineLevelRow="0" outlineLevelCol="0"/>
  <cols>
    <col min="1" max="1" width="22" style="37" customWidth="1"/>
    <col min="2" max="2" width="40" style="37" customWidth="1"/>
    <col min="3" max="3" width="14" style="37" customWidth="1"/>
    <col min="4" max="4" width="15" style="37" customWidth="1"/>
    <col min="5" max="5" width="8.67188" style="37" customWidth="1"/>
    <col min="6" max="16384" width="8.67188" style="37" customWidth="1"/>
  </cols>
  <sheetData>
    <row r="1" ht="18.5" customHeight="1">
      <c r="A1" t="s" s="26">
        <v>137</v>
      </c>
      <c r="B1" s="27"/>
      <c r="C1" s="27"/>
      <c r="D1" s="27"/>
      <c r="E1" s="9"/>
    </row>
    <row r="2" ht="13.65" customHeight="1">
      <c r="A2" t="s" s="38">
        <v>138</v>
      </c>
      <c r="B2" s="8"/>
      <c r="C2" s="8"/>
      <c r="D2" s="8"/>
      <c r="E2" s="9"/>
    </row>
    <row r="3" ht="13.55" customHeight="1">
      <c r="A3" s="11"/>
      <c r="B3" s="11"/>
      <c r="C3" s="11"/>
      <c r="D3" s="11"/>
      <c r="E3" s="9"/>
    </row>
    <row r="4" ht="13.65" customHeight="1">
      <c r="A4" t="s" s="12">
        <v>139</v>
      </c>
      <c r="B4" t="s" s="12">
        <v>5</v>
      </c>
      <c r="C4" t="s" s="12">
        <v>140</v>
      </c>
      <c r="D4" t="s" s="12">
        <v>141</v>
      </c>
      <c r="E4" s="18"/>
    </row>
    <row r="5" ht="13.65" customHeight="1">
      <c r="A5" t="s" s="16">
        <v>142</v>
      </c>
      <c r="B5" t="s" s="16">
        <v>143</v>
      </c>
      <c r="C5" s="20">
        <v>500</v>
      </c>
      <c r="D5" t="s" s="16">
        <v>144</v>
      </c>
      <c r="E5" s="18"/>
    </row>
    <row r="6" ht="13.65" customHeight="1">
      <c r="A6" t="s" s="16">
        <v>145</v>
      </c>
      <c r="B6" t="s" s="16">
        <v>146</v>
      </c>
      <c r="C6" s="20">
        <v>150</v>
      </c>
      <c r="D6" t="s" s="16">
        <v>147</v>
      </c>
      <c r="E6" s="18"/>
    </row>
    <row r="7" ht="13.65" customHeight="1">
      <c r="A7" t="s" s="16">
        <v>148</v>
      </c>
      <c r="B7" t="s" s="16">
        <v>149</v>
      </c>
      <c r="C7" s="20">
        <v>200</v>
      </c>
      <c r="D7" t="s" s="16">
        <v>144</v>
      </c>
      <c r="E7" s="18"/>
    </row>
    <row r="8" ht="13.65" customHeight="1">
      <c r="A8" t="s" s="16">
        <v>150</v>
      </c>
      <c r="B8" t="s" s="16">
        <v>151</v>
      </c>
      <c r="C8" s="20">
        <v>300</v>
      </c>
      <c r="D8" t="s" s="16">
        <v>152</v>
      </c>
      <c r="E8" s="18"/>
    </row>
    <row r="9" ht="13.65" customHeight="1">
      <c r="A9" t="s" s="16">
        <v>153</v>
      </c>
      <c r="B9" t="s" s="16">
        <v>154</v>
      </c>
      <c r="C9" s="20">
        <v>150</v>
      </c>
      <c r="D9" t="s" s="16">
        <v>155</v>
      </c>
      <c r="E9" s="18"/>
    </row>
    <row r="10" ht="13.65" customHeight="1">
      <c r="A10" t="s" s="16">
        <v>156</v>
      </c>
      <c r="B10" t="s" s="16">
        <v>157</v>
      </c>
      <c r="C10" s="20">
        <v>100</v>
      </c>
      <c r="D10" t="s" s="16">
        <v>147</v>
      </c>
      <c r="E10" s="18"/>
    </row>
    <row r="11" ht="13.65" customHeight="1">
      <c r="A11" t="s" s="16">
        <v>158</v>
      </c>
      <c r="B11" t="s" s="16">
        <v>159</v>
      </c>
      <c r="C11" s="20">
        <v>150</v>
      </c>
      <c r="D11" t="s" s="16">
        <v>144</v>
      </c>
      <c r="E11" s="18"/>
    </row>
    <row r="12" ht="13.65" customHeight="1">
      <c r="A12" t="s" s="16">
        <v>160</v>
      </c>
      <c r="B12" t="s" s="16">
        <v>161</v>
      </c>
      <c r="C12" s="20">
        <v>100</v>
      </c>
      <c r="D12" t="s" s="16">
        <v>162</v>
      </c>
      <c r="E12" s="18"/>
    </row>
    <row r="13" ht="13.65" customHeight="1">
      <c r="A13" t="s" s="16">
        <v>163</v>
      </c>
      <c r="B13" t="s" s="16">
        <v>164</v>
      </c>
      <c r="C13" s="20">
        <v>1000</v>
      </c>
      <c r="D13" t="s" s="16">
        <v>162</v>
      </c>
      <c r="E13" s="18"/>
    </row>
    <row r="14" ht="13.65" customHeight="1">
      <c r="A14" t="s" s="16">
        <v>165</v>
      </c>
      <c r="B14" t="s" s="16">
        <v>166</v>
      </c>
      <c r="C14" s="20">
        <v>200</v>
      </c>
      <c r="D14" t="s" s="16">
        <v>162</v>
      </c>
      <c r="E14" s="18"/>
    </row>
    <row r="15" ht="13.65" customHeight="1">
      <c r="A15" t="s" s="21">
        <v>167</v>
      </c>
      <c r="B15" s="22"/>
      <c r="C15" s="24">
        <f>SUM(C5:C14)</f>
        <v>2850</v>
      </c>
      <c r="D15" s="22"/>
      <c r="E15" s="18"/>
    </row>
  </sheetData>
  <mergeCells count="1">
    <mergeCell ref="A1:D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66667" defaultRowHeight="15" customHeight="1" outlineLevelRow="0" outlineLevelCol="0"/>
  <cols>
    <col min="1" max="1" width="35" style="39" customWidth="1"/>
    <col min="2" max="4" width="20" style="39" customWidth="1"/>
    <col min="5" max="5" width="8.67188" style="39" customWidth="1"/>
    <col min="6" max="16384" width="8.67188" style="39" customWidth="1"/>
  </cols>
  <sheetData>
    <row r="1" ht="18.5" customHeight="1">
      <c r="A1" t="s" s="26">
        <v>168</v>
      </c>
      <c r="B1" s="27"/>
      <c r="C1" s="27"/>
      <c r="D1" s="27"/>
      <c r="E1" s="36"/>
    </row>
    <row r="2" ht="13.55" customHeight="1">
      <c r="A2" s="8"/>
      <c r="B2" s="8"/>
      <c r="C2" s="8"/>
      <c r="D2" s="8"/>
      <c r="E2" s="9"/>
    </row>
    <row r="3" ht="14.6" customHeight="1">
      <c r="A3" t="s" s="29">
        <v>169</v>
      </c>
      <c r="B3" s="11"/>
      <c r="C3" s="11"/>
      <c r="D3" s="11"/>
      <c r="E3" s="9"/>
    </row>
    <row r="4" ht="13.65" customHeight="1">
      <c r="A4" t="s" s="12">
        <v>139</v>
      </c>
      <c r="B4" t="s" s="12">
        <v>20</v>
      </c>
      <c r="C4" t="s" s="12">
        <v>21</v>
      </c>
      <c r="D4" t="s" s="12">
        <v>22</v>
      </c>
      <c r="E4" s="18"/>
    </row>
    <row r="5" ht="13.65" customHeight="1">
      <c r="A5" t="s" s="16">
        <v>170</v>
      </c>
      <c r="B5" s="20">
        <f>'Phase 1 - ROSA Demo'!D13</f>
        <v>24000</v>
      </c>
      <c r="C5" s="20">
        <f>'Phase 1 - ROSA Demo'!E13</f>
        <v>48000</v>
      </c>
      <c r="D5" s="20">
        <f>'Phase 1 - ROSA Demo'!F13</f>
        <v>64000</v>
      </c>
      <c r="E5" s="18"/>
    </row>
    <row r="6" ht="13.65" customHeight="1">
      <c r="A6" t="s" s="16">
        <v>171</v>
      </c>
      <c r="B6" s="20">
        <f>'Phase 1 - ROSA Demo'!C21</f>
        <v>500</v>
      </c>
      <c r="C6" s="20">
        <f>'Phase 1 - ROSA Demo'!C21</f>
        <v>500</v>
      </c>
      <c r="D6" s="20">
        <f>'Phase 1 - ROSA Demo'!C21</f>
        <v>500</v>
      </c>
      <c r="E6" s="18"/>
    </row>
    <row r="7" ht="13.65" customHeight="1">
      <c r="A7" t="s" s="16">
        <v>172</v>
      </c>
      <c r="B7" s="20">
        <f>'Phase 2 - MVP Year 1'!D17</f>
        <v>90000</v>
      </c>
      <c r="C7" s="20">
        <f>'Phase 2 - MVP Year 1'!E17</f>
        <v>180000</v>
      </c>
      <c r="D7" s="20">
        <f>'Phase 2 - MVP Year 1'!F17</f>
        <v>240000</v>
      </c>
      <c r="E7" s="18"/>
    </row>
    <row r="8" ht="13.65" customHeight="1">
      <c r="A8" t="s" s="16">
        <v>173</v>
      </c>
      <c r="B8" s="20">
        <f>'Infrastructure Tiers'!D26</f>
        <v>22209</v>
      </c>
      <c r="C8" s="20">
        <f>'Infrastructure Tiers'!D26</f>
        <v>22209</v>
      </c>
      <c r="D8" s="20">
        <f>'Infrastructure Tiers'!D26</f>
        <v>22209</v>
      </c>
      <c r="E8" s="18"/>
    </row>
    <row r="9" ht="13.65" customHeight="1">
      <c r="A9" t="s" s="21">
        <v>131</v>
      </c>
      <c r="B9" s="24">
        <f>SUM(B5:B8)</f>
        <v>136709</v>
      </c>
      <c r="C9" s="24">
        <f>SUM(C5:C8)</f>
        <v>250709</v>
      </c>
      <c r="D9" s="24">
        <f>SUM(D5:D8)</f>
        <v>326709</v>
      </c>
      <c r="E9" s="18"/>
    </row>
    <row r="10" ht="13.55" customHeight="1">
      <c r="A10" s="17"/>
      <c r="B10" s="17"/>
      <c r="C10" s="17"/>
      <c r="D10" s="17"/>
      <c r="E10" s="9"/>
    </row>
    <row r="11" ht="13.55" customHeight="1">
      <c r="A11" s="8"/>
      <c r="B11" s="8"/>
      <c r="C11" s="8"/>
      <c r="D11" s="8"/>
      <c r="E11" s="9"/>
    </row>
    <row r="12" ht="14.6" customHeight="1">
      <c r="A12" t="s" s="40">
        <v>174</v>
      </c>
      <c r="B12" s="8"/>
      <c r="C12" s="8"/>
      <c r="D12" s="8"/>
      <c r="E12" s="9"/>
    </row>
    <row r="13" ht="13.65" customHeight="1">
      <c r="A13" t="s" s="41">
        <v>175</v>
      </c>
      <c r="B13" s="42">
        <f>B5+B6</f>
        <v>24500</v>
      </c>
      <c r="C13" s="42">
        <f>C5+C6</f>
        <v>48500</v>
      </c>
      <c r="D13" s="42">
        <f>D5+D6</f>
        <v>64500</v>
      </c>
      <c r="E13" s="9"/>
    </row>
  </sheetData>
  <mergeCells count="1">
    <mergeCell ref="A1:E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